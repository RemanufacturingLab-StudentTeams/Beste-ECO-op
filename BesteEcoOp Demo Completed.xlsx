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chart1.xml" ContentType="application/vnd.openxmlformats-officedocument.drawingml.chart+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style6.xml" ContentType="application/vnd.ms-office.chartsty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ehaagsehogeschool-my.sharepoint.com/personal/jlcoward_hhs_nl/Documents/LCALCC/HTC LOCKED/"/>
    </mc:Choice>
  </mc:AlternateContent>
  <xr:revisionPtr revIDLastSave="350" documentId="8_{7745EEF3-64F3-4993-9D89-84C004E8A8C1}" xr6:coauthVersionLast="47" xr6:coauthVersionMax="47" xr10:uidLastSave="{43512321-FD86-4A72-AAD5-1F504DAEE2F0}"/>
  <bookViews>
    <workbookView xWindow="-108" yWindow="-16308" windowWidth="29016" windowHeight="15816" activeTab="2" xr2:uid="{225850B4-6F8B-49DA-A779-32559F25903D}"/>
  </bookViews>
  <sheets>
    <sheet name="Scenario Inputs" sheetId="3" r:id="rId1"/>
    <sheet name="Component Info" sheetId="2" r:id="rId2"/>
    <sheet name="CELD Results" sheetId="1" r:id="rId3"/>
    <sheet name="Cut-off Results" sheetId="4" r:id="rId4"/>
    <sheet name="Equal Share Results " sheetId="5" r:id="rId5"/>
    <sheet name="Allocation Method Description" sheetId="6" r:id="rId6"/>
  </sheets>
  <definedNames>
    <definedName name="Cycle1End">'Scenario Inputs'!$L$3</definedName>
    <definedName name="Cycle2End">'Scenario Inputs'!$L$4</definedName>
    <definedName name="Cycle3End">'Scenario Inputs'!$L$5</definedName>
    <definedName name="TotalLife">'Scenario Inputs'!$L$2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C42" i="1"/>
  <c r="C41" i="1"/>
  <c r="C27" i="1"/>
  <c r="C28" i="1" l="1"/>
  <c r="C44" i="5"/>
  <c r="C35" i="5"/>
  <c r="H14" i="5" s="1"/>
  <c r="M15" i="5"/>
  <c r="L15" i="5"/>
  <c r="K15" i="5"/>
  <c r="P13" i="5"/>
  <c r="M14" i="5"/>
  <c r="L14" i="5"/>
  <c r="K14" i="5"/>
  <c r="M13" i="5"/>
  <c r="L13" i="5"/>
  <c r="K13" i="5"/>
  <c r="C35" i="4"/>
  <c r="Q14" i="4" s="1"/>
  <c r="K15" i="1"/>
  <c r="C44" i="4"/>
  <c r="R15" i="4"/>
  <c r="M15" i="4"/>
  <c r="L15" i="4"/>
  <c r="K15" i="4"/>
  <c r="P14" i="4"/>
  <c r="M14" i="4"/>
  <c r="L14" i="4"/>
  <c r="K14" i="4"/>
  <c r="M13" i="4"/>
  <c r="L13" i="4"/>
  <c r="K13" i="4"/>
  <c r="AS4" i="2"/>
  <c r="AS5" i="2"/>
  <c r="AS6" i="2"/>
  <c r="AS7" i="2"/>
  <c r="AS8" i="2"/>
  <c r="AS9" i="2"/>
  <c r="AS3" i="2"/>
  <c r="P14" i="5" l="1"/>
  <c r="P15" i="5"/>
  <c r="C16" i="5"/>
  <c r="C27" i="5"/>
  <c r="H13" i="5" s="1"/>
  <c r="C27" i="4"/>
  <c r="C28" i="4" s="1"/>
  <c r="I13" i="4" s="1"/>
  <c r="P15" i="4"/>
  <c r="C16" i="4"/>
  <c r="P13" i="4"/>
  <c r="Q15" i="5"/>
  <c r="Q13" i="5"/>
  <c r="Q14" i="5"/>
  <c r="R15" i="5"/>
  <c r="R14" i="5"/>
  <c r="H15" i="5"/>
  <c r="R13" i="5"/>
  <c r="R13" i="4"/>
  <c r="Q13" i="4"/>
  <c r="H14" i="4"/>
  <c r="Q15" i="4"/>
  <c r="R14" i="4"/>
  <c r="H15" i="4"/>
  <c r="M15" i="1"/>
  <c r="L15" i="1"/>
  <c r="C28" i="5" l="1"/>
  <c r="I13" i="5" s="1"/>
  <c r="C46" i="5"/>
  <c r="J15" i="5" s="1"/>
  <c r="H13" i="4"/>
  <c r="C37" i="4"/>
  <c r="J14" i="4" s="1"/>
  <c r="C46" i="4"/>
  <c r="J15" i="4" s="1"/>
  <c r="C37" i="5"/>
  <c r="J14" i="5" s="1"/>
  <c r="B100" i="2" l="1"/>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L2" i="3"/>
  <c r="C13" i="1" l="1"/>
  <c r="C13" i="4"/>
  <c r="C13" i="5"/>
  <c r="F2" i="3"/>
  <c r="E2" i="3" s="1"/>
  <c r="F3" i="3"/>
  <c r="F4" i="3"/>
  <c r="E4" i="3" s="1"/>
  <c r="F5" i="3"/>
  <c r="F6" i="3"/>
  <c r="F7" i="3"/>
  <c r="F8" i="3"/>
  <c r="L5" i="3"/>
  <c r="L4" i="3"/>
  <c r="L3" i="3"/>
  <c r="C36" i="4" l="1"/>
  <c r="I14" i="4" s="1"/>
  <c r="C45" i="4"/>
  <c r="I15" i="4" s="1"/>
  <c r="C36" i="5"/>
  <c r="I14" i="5" s="1"/>
  <c r="C45" i="5"/>
  <c r="I15" i="5" s="1"/>
  <c r="E3" i="3"/>
  <c r="E8" i="3"/>
  <c r="E7" i="3"/>
  <c r="E6" i="3"/>
  <c r="E5" i="3"/>
  <c r="A3" i="2" l="1" a="1"/>
  <c r="B99" i="2"/>
  <c r="B98" i="2"/>
  <c r="A3" i="2" l="1"/>
  <c r="K6" i="2"/>
  <c r="K5" i="2"/>
  <c r="L8" i="2"/>
  <c r="K9" i="2"/>
  <c r="L7" i="2"/>
  <c r="J5" i="2"/>
  <c r="K4" i="2"/>
  <c r="K8" i="2"/>
  <c r="L5" i="2"/>
  <c r="L6" i="2"/>
  <c r="L9" i="2"/>
  <c r="J6" i="2"/>
  <c r="J7" i="2"/>
  <c r="J4" i="2"/>
  <c r="J9" i="2"/>
  <c r="J8" i="2"/>
  <c r="K7" i="2"/>
  <c r="L4" i="2"/>
  <c r="G5" i="3"/>
  <c r="G3" i="3"/>
  <c r="L3" i="2"/>
  <c r="B89" i="2"/>
  <c r="B97" i="2"/>
  <c r="B96" i="2"/>
  <c r="B95" i="2"/>
  <c r="B94" i="2"/>
  <c r="B93" i="2"/>
  <c r="B92" i="2"/>
  <c r="B91" i="2"/>
  <c r="B90" i="2"/>
  <c r="B88" i="2"/>
  <c r="B87" i="2"/>
  <c r="B9" i="2"/>
  <c r="B6" i="2"/>
  <c r="B7" i="2"/>
  <c r="B8" i="2"/>
  <c r="B5" i="2"/>
  <c r="B4" i="2"/>
  <c r="G4" i="3"/>
  <c r="G8" i="3"/>
  <c r="G7" i="3"/>
  <c r="G2" i="3"/>
  <c r="G6" i="3"/>
  <c r="J3" i="2"/>
  <c r="B3" i="2"/>
  <c r="C3" i="2" s="1"/>
  <c r="D3" i="2" s="1"/>
  <c r="E3" i="2" s="1"/>
  <c r="H3" i="2" s="1"/>
  <c r="K3" i="2"/>
  <c r="G3" i="2" l="1"/>
  <c r="C4" i="2"/>
  <c r="D4" i="2" s="1"/>
  <c r="E4" i="2" s="1"/>
  <c r="I4" i="2" s="1"/>
  <c r="F3" i="2"/>
  <c r="N3" i="2" s="1"/>
  <c r="I3" i="2"/>
  <c r="AP4" i="2" l="1"/>
  <c r="AP3" i="2"/>
  <c r="M3" i="2"/>
  <c r="AC3" i="2" s="1"/>
  <c r="AH3" i="2"/>
  <c r="AT3" i="2" s="1"/>
  <c r="AN3" i="2"/>
  <c r="AL3" i="2"/>
  <c r="AJ3" i="2"/>
  <c r="AK3" i="2"/>
  <c r="AI3" i="2"/>
  <c r="AU3" i="2" s="1"/>
  <c r="AO3" i="2"/>
  <c r="AG3" i="2"/>
  <c r="O3" i="2"/>
  <c r="Q3" i="2" s="1"/>
  <c r="C5" i="2"/>
  <c r="D5" i="2" s="1"/>
  <c r="E5" i="2" s="1"/>
  <c r="H5" i="2" s="1"/>
  <c r="P3" i="2"/>
  <c r="S3" i="2" s="1"/>
  <c r="W3" i="2" s="1"/>
  <c r="G4" i="2"/>
  <c r="F4" i="2"/>
  <c r="N4" i="2" s="1"/>
  <c r="H4" i="2"/>
  <c r="BC3" i="2" l="1"/>
  <c r="BG3" i="2"/>
  <c r="BF3" i="2"/>
  <c r="BH3" i="2"/>
  <c r="BA3" i="2"/>
  <c r="AW3" i="2"/>
  <c r="AY3" i="2"/>
  <c r="BB3" i="2"/>
  <c r="AX3" i="2"/>
  <c r="AE3" i="2"/>
  <c r="AD3" i="2"/>
  <c r="AQ3" i="2"/>
  <c r="U3" i="2"/>
  <c r="M4" i="2"/>
  <c r="AE4" i="2" s="1"/>
  <c r="AI4" i="2"/>
  <c r="AU4" i="2" s="1"/>
  <c r="AO4" i="2"/>
  <c r="AK4" i="2"/>
  <c r="AJ4" i="2"/>
  <c r="AL4" i="2"/>
  <c r="AN4" i="2"/>
  <c r="AH4" i="2"/>
  <c r="AT4" i="2" s="1"/>
  <c r="AG4" i="2"/>
  <c r="O4" i="2"/>
  <c r="Q4" i="2" s="1"/>
  <c r="P4" i="2"/>
  <c r="S4" i="2" s="1"/>
  <c r="C6" i="2"/>
  <c r="D6" i="2" s="1"/>
  <c r="E6" i="2" s="1"/>
  <c r="I6" i="2" s="1"/>
  <c r="R3" i="2"/>
  <c r="I5" i="2"/>
  <c r="F5" i="2"/>
  <c r="N5" i="2" s="1"/>
  <c r="G5" i="2"/>
  <c r="BH4" i="2" l="1"/>
  <c r="BG4" i="2"/>
  <c r="BF4" i="2"/>
  <c r="AP6" i="2"/>
  <c r="AY4" i="2"/>
  <c r="BC4" i="2"/>
  <c r="AO5" i="2"/>
  <c r="BA4" i="2"/>
  <c r="AW4" i="2"/>
  <c r="BB4" i="2"/>
  <c r="AX4" i="2"/>
  <c r="AD4" i="2"/>
  <c r="AC4" i="2"/>
  <c r="M5" i="2"/>
  <c r="AC5" i="2" s="1"/>
  <c r="U4" i="2"/>
  <c r="W4" i="2"/>
  <c r="AA3" i="2"/>
  <c r="Z3" i="2"/>
  <c r="AQ4" i="2"/>
  <c r="Y3" i="2"/>
  <c r="AK5" i="2"/>
  <c r="AJ5" i="2"/>
  <c r="AN5" i="2"/>
  <c r="AL5" i="2"/>
  <c r="AI5" i="2"/>
  <c r="AU5" i="2" s="1"/>
  <c r="AP5" i="2"/>
  <c r="AH5" i="2"/>
  <c r="AT5" i="2" s="1"/>
  <c r="AG5" i="2"/>
  <c r="T3" i="2"/>
  <c r="R4" i="2"/>
  <c r="C7" i="2"/>
  <c r="D7" i="2" s="1"/>
  <c r="C8" i="2" s="1"/>
  <c r="D8" i="2" s="1"/>
  <c r="E8" i="2" s="1"/>
  <c r="F8" i="2" s="1"/>
  <c r="N8" i="2" s="1"/>
  <c r="V3" i="2"/>
  <c r="G6" i="2"/>
  <c r="F6" i="2"/>
  <c r="H6" i="2"/>
  <c r="P5" i="2"/>
  <c r="S5" i="2" s="1"/>
  <c r="W5" i="2" s="1"/>
  <c r="O5" i="2"/>
  <c r="BH5" i="2" l="1"/>
  <c r="AE5" i="2"/>
  <c r="AD5" i="2"/>
  <c r="BC5" i="2"/>
  <c r="BG5" i="2"/>
  <c r="BF5" i="2"/>
  <c r="BA5" i="2"/>
  <c r="BB5" i="2"/>
  <c r="AX5" i="2"/>
  <c r="AW5" i="2"/>
  <c r="AY5" i="2"/>
  <c r="AQ5" i="2"/>
  <c r="M6" i="2"/>
  <c r="AD6" i="2" s="1"/>
  <c r="V4" i="2"/>
  <c r="X4" i="2" s="1"/>
  <c r="Z4" i="2"/>
  <c r="AA4" i="2"/>
  <c r="Y4" i="2"/>
  <c r="AN6" i="2"/>
  <c r="AJ6" i="2"/>
  <c r="AL6" i="2"/>
  <c r="AK6" i="2"/>
  <c r="AI6" i="2"/>
  <c r="AU6" i="2" s="1"/>
  <c r="AO6" i="2"/>
  <c r="AH6" i="2"/>
  <c r="AT6" i="2" s="1"/>
  <c r="AG6" i="2"/>
  <c r="AB3" i="2"/>
  <c r="T4" i="2"/>
  <c r="N6" i="2"/>
  <c r="P6" i="2" s="1"/>
  <c r="S6" i="2" s="1"/>
  <c r="W6" i="2" s="1"/>
  <c r="X3" i="2"/>
  <c r="R5" i="2"/>
  <c r="E7" i="2"/>
  <c r="G7" i="2" s="1"/>
  <c r="C9" i="2"/>
  <c r="D9" i="2" s="1"/>
  <c r="Q5" i="2"/>
  <c r="H8" i="2"/>
  <c r="I8" i="2"/>
  <c r="G8" i="2"/>
  <c r="AC6" i="2" l="1"/>
  <c r="AW6" i="2"/>
  <c r="BH6" i="2"/>
  <c r="BF6" i="2"/>
  <c r="BG6" i="2"/>
  <c r="AY6" i="2"/>
  <c r="BC6" i="2"/>
  <c r="BA6" i="2"/>
  <c r="BB6" i="2"/>
  <c r="AX6" i="2"/>
  <c r="AE6" i="2"/>
  <c r="M8" i="2"/>
  <c r="AD8" i="2" s="1"/>
  <c r="AQ6" i="2"/>
  <c r="U5" i="2"/>
  <c r="Y5" i="2"/>
  <c r="V5" i="2"/>
  <c r="Z5" i="2"/>
  <c r="AO8" i="2"/>
  <c r="AJ7" i="2"/>
  <c r="P8" i="2"/>
  <c r="S8" i="2" s="1"/>
  <c r="W8" i="2" s="1"/>
  <c r="AP8" i="2"/>
  <c r="AN8" i="2"/>
  <c r="AJ8" i="2"/>
  <c r="AK8" i="2"/>
  <c r="AL8" i="2"/>
  <c r="AH8" i="2"/>
  <c r="AT8" i="2" s="1"/>
  <c r="AG8" i="2"/>
  <c r="BA8" i="2" s="1"/>
  <c r="AI8" i="2"/>
  <c r="AU8" i="2" s="1"/>
  <c r="AB4" i="2"/>
  <c r="O6" i="2"/>
  <c r="Q6" i="2" s="1"/>
  <c r="I7" i="2"/>
  <c r="H7" i="2"/>
  <c r="AA5" i="2"/>
  <c r="F7" i="2"/>
  <c r="N7" i="2" s="1"/>
  <c r="E9" i="2"/>
  <c r="F9" i="2" s="1"/>
  <c r="N9" i="2" s="1"/>
  <c r="T5" i="2"/>
  <c r="O8" i="2"/>
  <c r="AC8" i="2" l="1"/>
  <c r="R8" i="2"/>
  <c r="V8" i="2" s="1"/>
  <c r="AQ8" i="2"/>
  <c r="X5" i="2"/>
  <c r="BH8" i="2"/>
  <c r="BG8" i="2"/>
  <c r="BF8" i="2"/>
  <c r="AX8" i="2"/>
  <c r="AW8" i="2"/>
  <c r="AE8" i="2"/>
  <c r="AY8" i="2"/>
  <c r="AP7" i="2"/>
  <c r="BC8" i="2"/>
  <c r="BB8" i="2"/>
  <c r="AN7" i="2"/>
  <c r="M7" i="2"/>
  <c r="AD7" i="2" s="1"/>
  <c r="AL7" i="2"/>
  <c r="AK7" i="2"/>
  <c r="AG7" i="2"/>
  <c r="AI7" i="2"/>
  <c r="AU7" i="2" s="1"/>
  <c r="AO7" i="2"/>
  <c r="AH7" i="2"/>
  <c r="AT7" i="2" s="1"/>
  <c r="R6" i="2"/>
  <c r="Y6" i="2" s="1"/>
  <c r="P7" i="2"/>
  <c r="S7" i="2" s="1"/>
  <c r="W7" i="2" s="1"/>
  <c r="AB5" i="2"/>
  <c r="O7" i="2"/>
  <c r="Q7" i="2" s="1"/>
  <c r="H9" i="2"/>
  <c r="I9" i="2"/>
  <c r="G9" i="2"/>
  <c r="U6" i="2"/>
  <c r="Q8" i="2"/>
  <c r="AE7" i="2" l="1"/>
  <c r="BG7" i="2"/>
  <c r="BC7" i="2"/>
  <c r="BF7" i="2"/>
  <c r="BH7" i="2"/>
  <c r="BB7" i="2"/>
  <c r="AW7" i="2"/>
  <c r="BA7" i="2"/>
  <c r="AC7" i="2"/>
  <c r="AX7" i="2"/>
  <c r="AY7" i="2"/>
  <c r="AP9" i="2"/>
  <c r="M9" i="2"/>
  <c r="AC9" i="2" s="1"/>
  <c r="U7" i="2"/>
  <c r="AQ7" i="2"/>
  <c r="U8" i="2"/>
  <c r="X8" i="2" s="1"/>
  <c r="Y8" i="2"/>
  <c r="V6" i="2"/>
  <c r="Z6" i="2"/>
  <c r="Z8" i="2"/>
  <c r="AO9" i="2"/>
  <c r="AK9" i="2"/>
  <c r="AJ9" i="2"/>
  <c r="AN9" i="2"/>
  <c r="AL9" i="2"/>
  <c r="AH9" i="2"/>
  <c r="AT9" i="2" s="1"/>
  <c r="AG9" i="2"/>
  <c r="AX9" i="2" s="1"/>
  <c r="AI9" i="2"/>
  <c r="AU9" i="2" s="1"/>
  <c r="T6" i="2"/>
  <c r="AA6" i="2"/>
  <c r="O9" i="2"/>
  <c r="Q9" i="2" s="1"/>
  <c r="R7" i="2"/>
  <c r="Z7" i="2" s="1"/>
  <c r="AA8" i="2"/>
  <c r="P9" i="2"/>
  <c r="S9" i="2" s="1"/>
  <c r="W9" i="2" s="1"/>
  <c r="T8" i="2"/>
  <c r="X6" i="2" l="1"/>
  <c r="AE9" i="2"/>
  <c r="AQ9" i="2"/>
  <c r="AD9" i="2"/>
  <c r="BB9" i="2"/>
  <c r="BF9" i="2"/>
  <c r="BC9" i="2"/>
  <c r="BG9" i="2"/>
  <c r="BH9" i="2"/>
  <c r="AY9" i="2"/>
  <c r="AW9" i="2"/>
  <c r="BA9" i="2"/>
  <c r="U9" i="2"/>
  <c r="Y7" i="2"/>
  <c r="AB6" i="2"/>
  <c r="R9" i="2"/>
  <c r="Y9" i="2" s="1"/>
  <c r="AB8" i="2"/>
  <c r="T7" i="2"/>
  <c r="AA7" i="2"/>
  <c r="V7" i="2"/>
  <c r="T9" i="2" l="1"/>
  <c r="Z9" i="2"/>
  <c r="X7" i="2"/>
  <c r="AB7" i="2"/>
  <c r="V9" i="2"/>
  <c r="AA9" i="2"/>
  <c r="X9" i="2" l="1"/>
  <c r="AB9" i="2"/>
  <c r="C44" i="1" l="1"/>
  <c r="C45" i="1" l="1"/>
  <c r="C46" i="1"/>
  <c r="R14" i="1"/>
  <c r="R15" i="1"/>
  <c r="R13" i="1"/>
  <c r="I15" i="1"/>
  <c r="H15" i="1"/>
  <c r="M14" i="1" l="1"/>
  <c r="L14" i="1" l="1"/>
  <c r="C35" i="1"/>
  <c r="K14" i="1"/>
  <c r="Q13" i="1" l="1"/>
  <c r="C36" i="1"/>
  <c r="H14" i="1"/>
  <c r="I14" i="1"/>
  <c r="Q15" i="1"/>
  <c r="Q14" i="1"/>
  <c r="L13" i="1" l="1"/>
  <c r="K13" i="1"/>
  <c r="M13" i="1"/>
  <c r="P14" i="1"/>
  <c r="P15" i="1" l="1"/>
  <c r="C16" i="1"/>
  <c r="P13" i="1"/>
  <c r="H13" i="1" l="1"/>
  <c r="C37" i="1"/>
  <c r="J14" i="1" s="1"/>
  <c r="J15" i="1"/>
  <c r="I13" i="1"/>
  <c r="C22" i="4" l="1"/>
  <c r="C21" i="4"/>
  <c r="C22" i="5" l="1"/>
  <c r="C20" i="5"/>
  <c r="C20" i="4"/>
  <c r="C23" i="4" s="1"/>
  <c r="C21" i="5"/>
  <c r="C23" i="5" l="1"/>
  <c r="C20" i="1"/>
  <c r="C22" i="1"/>
  <c r="C21" i="1" l="1"/>
  <c r="C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tc={C0F9A2E7-6D7F-485A-B43D-840FEC34D0E3}</author>
  </authors>
  <commentList>
    <comment ref="Y3" authorId="0" shapeId="0" xr:uid="{C0F9A2E7-6D7F-485A-B43D-840FEC34D0E3}">
      <text>
        <t xml:space="preserve">[Threaded comment]
Your version of Excel allows you to read this threaded comment; however, any edits to it will get removed if the file is opened in a newer version of Excel. Learn more: https://go.microsoft.com/fwlink/?linkid=870924
Comment:
    Formula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tc={507334F1-C89F-492B-8AF5-391BB2E080F2}</author>
  </authors>
  <commentList>
    <comment ref="I33" authorId="0" shapeId="0" xr:uid="{507334F1-C89F-492B-8AF5-391BB2E080F2}">
      <text>
        <t xml:space="preserve">[Threaded comment]
Your version of Excel allows you to read this threaded comment; however, any edits to it will get removed if the file is opened in a newer version of Excel. Learn more: https://go.microsoft.com/fwlink/?linkid=870924
Comment:
    Change stacked bars to be absolute value to show how each scenario has a different total impact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tc={48DED31B-06A2-4617-AB32-672AA561B9D7}</author>
  </authors>
  <commentList>
    <comment ref="A2" authorId="0" shapeId="0" xr:uid="{48DED31B-06A2-4617-AB32-672AA561B9D7}">
      <text>
        <t xml:space="preserve">[Threaded comment]
Your version of Excel allows you to read this threaded comment; however, any edits to it will get removed if the file is opened in a newer version of Excel. Learn more: https://go.microsoft.com/fwlink/?linkid=870924
Comment:
    I need to add in the triangular distribution thinking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<sst xmlns="http://schemas.openxmlformats.org/spreadsheetml/2006/main" count="357" uniqueCount="117">
  <si>
    <t>Component</t>
  </si>
  <si>
    <t>Initial Life</t>
  </si>
  <si>
    <t>Refurb Allowed</t>
  </si>
  <si>
    <t>Refurb Life Extension</t>
  </si>
  <si>
    <t>Number of Instances</t>
  </si>
  <si>
    <t>Effective Life</t>
  </si>
  <si>
    <t>Instances Check</t>
  </si>
  <si>
    <t xml:space="preserve">Manufacturing 
(kgCO2eq) </t>
  </si>
  <si>
    <t>EOL Disposal 
(kgCO2eq)</t>
  </si>
  <si>
    <t>Refurbishment 
(kgCO2eq)</t>
  </si>
  <si>
    <t>Column1</t>
  </si>
  <si>
    <t>Column2</t>
  </si>
  <si>
    <t>Total Length of All Cycles</t>
  </si>
  <si>
    <t>End of Cycle 1</t>
  </si>
  <si>
    <t>End of Cycle 2</t>
  </si>
  <si>
    <t>End of Cycle 3</t>
  </si>
  <si>
    <t xml:space="preserve">Total Number of Cycles </t>
  </si>
  <si>
    <t>CELD Calculation Helper Columns (Hide)</t>
  </si>
  <si>
    <t xml:space="preserve">Circular Economy Linear Digression (CELD) Approach </t>
  </si>
  <si>
    <t>Cut-off/Equal Split  Calculation Helper Columns (Hide)</t>
  </si>
  <si>
    <t xml:space="preserve">Cut-off (100-0) Approach </t>
  </si>
  <si>
    <t xml:space="preserve">Equal Distribution (n cycles) Approach </t>
  </si>
  <si>
    <t>InstanceID</t>
  </si>
  <si>
    <t xml:space="preserve">Start </t>
  </si>
  <si>
    <t xml:space="preserve">End </t>
  </si>
  <si>
    <t xml:space="preserve">EndTrunc </t>
  </si>
  <si>
    <t>ActiveYears (V)</t>
  </si>
  <si>
    <t>Cycle 1</t>
  </si>
  <si>
    <t>Cycle 2</t>
  </si>
  <si>
    <t>Cycle 3</t>
  </si>
  <si>
    <t>Manufacturing  (kgCO2eq)</t>
  </si>
  <si>
    <t>EOL Disposal (kgCO2eq)</t>
  </si>
  <si>
    <t>Refurbishing (kgCO2eq)</t>
  </si>
  <si>
    <t>Number Refurbs</t>
  </si>
  <si>
    <t>h0</t>
  </si>
  <si>
    <t>h1</t>
  </si>
  <si>
    <t>h2</t>
  </si>
  <si>
    <t>f1</t>
  </si>
  <si>
    <t>f2</t>
  </si>
  <si>
    <t>f3</t>
  </si>
  <si>
    <t>CHECK</t>
  </si>
  <si>
    <t>Manufacturing Cycle 1</t>
  </si>
  <si>
    <t>Manufacturing Cycle 2</t>
  </si>
  <si>
    <t>Manufacturing Cycle 3</t>
  </si>
  <si>
    <t>SUM TOTAL4</t>
  </si>
  <si>
    <t xml:space="preserve">EOL Disposal Cycle 1 </t>
  </si>
  <si>
    <t xml:space="preserve">EOL Disposal Cycle 2 </t>
  </si>
  <si>
    <t>EOL Disposal  Cycle 3</t>
  </si>
  <si>
    <t>SUM TOTAL</t>
  </si>
  <si>
    <t xml:space="preserve">Refurb Impact Cycle 1 </t>
  </si>
  <si>
    <t xml:space="preserve">Refurb Impact Cycle 2 </t>
  </si>
  <si>
    <t xml:space="preserve">Refurb Impact Cycle 3 </t>
  </si>
  <si>
    <t>n Cycles Used</t>
  </si>
  <si>
    <t>Check Used Cycle 1&amp;2</t>
  </si>
  <si>
    <t>Check Used Cycle 2&amp;3</t>
  </si>
  <si>
    <t>SUM TOTAL6</t>
  </si>
  <si>
    <t xml:space="preserve">GOAL : </t>
  </si>
  <si>
    <t xml:space="preserve">Functional Unit (FU): </t>
  </si>
  <si>
    <t>System Bounadry:</t>
  </si>
  <si>
    <t>Manufacturing + refurbishment + EOL disposal over 3 cycles.</t>
  </si>
  <si>
    <t>Show the environmental impact benefits of remanufacturing/refurbishing parts to extend the service life of the product system compared to repeated new manufacturing.</t>
  </si>
  <si>
    <t>Baseline Metrics (Single Cycle + No Remanufacturing Case)</t>
  </si>
  <si>
    <t>Scenario Comparison Summary</t>
  </si>
  <si>
    <t>Metric</t>
  </si>
  <si>
    <t>Value</t>
  </si>
  <si>
    <t>Notes</t>
  </si>
  <si>
    <t>Scenario</t>
  </si>
  <si>
    <t>Total Impact (kg CO₂-eq)</t>
  </si>
  <si>
    <t>Annual Impact (kg CO₂-eq/year)</t>
  </si>
  <si>
    <t>Reduction vs Baseline (%)</t>
  </si>
  <si>
    <t>Cycle 1 Impact (kg CO₂-eq)</t>
  </si>
  <si>
    <t>Cycle 2 Impact (kg CO₂-eq)</t>
  </si>
  <si>
    <t>Cycle 3 Impact (kg CO₂-eq)</t>
  </si>
  <si>
    <t>Scenario 1 – No Reman</t>
  </si>
  <si>
    <t>Scenario 2 – Moderate Reman</t>
  </si>
  <si>
    <t>Product system life (years)</t>
  </si>
  <si>
    <t>3 cycles × 10 years</t>
  </si>
  <si>
    <t>Baseline: Single-cycle impact (kg CO₂-eq)</t>
  </si>
  <si>
    <t>Manufacturing + EOL for 1 cycle</t>
  </si>
  <si>
    <t>Scenario 1 Total Impact (kg CO₂-eq)</t>
  </si>
  <si>
    <t>3 full replacements (no reuse)</t>
  </si>
  <si>
    <t>Scenario 3 – Max Reman</t>
  </si>
  <si>
    <t>Impact per year (kg CO₂-eq/year)</t>
  </si>
  <si>
    <t>Annualized baseline</t>
  </si>
  <si>
    <t>Calculation Table</t>
  </si>
  <si>
    <t>The user copies (C20:22) the data from these cells and pastes them into the scenario table before adjusting the scenario input sheet for  a different scenario
NB: Paste option only numbers not formula</t>
  </si>
  <si>
    <t xml:space="preserve">Value </t>
  </si>
  <si>
    <t>Includes allocated manufacturing, disposal, and refurb impacts for components active in Cycle 1.</t>
  </si>
  <si>
    <t>Includes allocated manufacturing, disposal, and refurb impacts for components active in Cycle 2.</t>
  </si>
  <si>
    <t>Includes allocated manufacturing, disposal, and refurb impacts for components active in Cycle 3.</t>
  </si>
  <si>
    <t>Total System Impact (kg CO2-eq)</t>
  </si>
  <si>
    <t>Allocated using CELD triangular method to account for reused components.</t>
  </si>
  <si>
    <t>Scenario  1:  Three Full Replacements (New) - No Remanufacturing</t>
  </si>
  <si>
    <t>Scenario  2:  Moderate Remanufacturing</t>
  </si>
  <si>
    <t>Total System Impact (kg CO₂-eq)</t>
  </si>
  <si>
    <t xml:space="preserve">over the period of 30 years </t>
  </si>
  <si>
    <t>Scenario  3:  Maximum Remanufacturing</t>
  </si>
  <si>
    <t>CELD Allocation Method</t>
  </si>
  <si>
    <t xml:space="preserve">Impacts are distributed proportionally based on how many years the component is active in each cycle.
A component used longer in a cycle receives a larger share of the impact for that cycle.
Manufacturing, EOL disposal and refurbishing impacts follow the same proportional logic. (Linear Digression)
Refurbishing is split equally between the cycles that the component is used in.
</t>
  </si>
  <si>
    <t>Cut-off Allocation Method</t>
  </si>
  <si>
    <t>Each impact is assigned fully to the cycle where the event occurs.
Manufacturing is allocated to the first cycle in which the component is used.
EOL disposal is allocated to the final cycle in which the component is active.
Refurbishing is assigned to the cycle the component continues into after refurbishment.</t>
  </si>
  <si>
    <t>Equal Distribution Method</t>
  </si>
  <si>
    <t>Impacts are spread evenly across all cycles in which the component is active.
If the component operates in one cycle, that cycle receives the full impact.
If active in two cycles, each receives half of the impact.
If active in three cycles, each receives one third of the impact.</t>
  </si>
  <si>
    <t>Scenario 1 – Description</t>
  </si>
  <si>
    <t>Scenario 2 –  Description</t>
  </si>
  <si>
    <t>Scenario 3 –  Description</t>
  </si>
  <si>
    <t>Input Number</t>
  </si>
  <si>
    <t xml:space="preserve">Cycle 1 Length </t>
  </si>
  <si>
    <t xml:space="preserve">Cycle 2 Length </t>
  </si>
  <si>
    <t xml:space="preserve">Cycle 3 Length </t>
  </si>
  <si>
    <t>Part A</t>
  </si>
  <si>
    <t>Part B</t>
  </si>
  <si>
    <t>Part C</t>
  </si>
  <si>
    <t xml:space="preserve">Part D </t>
  </si>
  <si>
    <t xml:space="preserve">Part E </t>
  </si>
  <si>
    <t>Part F</t>
  </si>
  <si>
    <t xml:space="preserve">Part 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</si>
</sst>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6"/>
      <name val="Aptos Narrow"/>
      <family val="2"/>
      <scheme val="minor"/>
    </font>
    <font>
      <sz val="11"/>
      <color theme="5" tint="-0.499984740745262"/>
      <name val="Aptos Narrow"/>
      <family val="2"/>
      <scheme val="minor"/>
    </font>
    <font>
      <sz val="11"/>
      <color theme="4"/>
      <name val="Aptos Narrow"/>
      <family val="2"/>
      <scheme val="minor"/>
    </font>
    <font>
      <b/>
      <sz val="11"/>
      <color theme="4"/>
      <name val="Aptos Narrow"/>
      <family val="2"/>
      <scheme val="minor"/>
    </font>
    <font>
      <sz val="11"/>
      <color theme="1"/>
      <name val="Aptos Narrow"/>
      <family val="2"/>
      <scheme val="minor"/>
    </font>
    <font>
      <b/>
      <sz val="12"/>
      <color theme="4"/>
      <name val="Aptos Narrow"/>
      <family val="2"/>
      <scheme val="minor"/>
    </font>
    <font>
      <b/>
      <sz val="11"/>
      <color theme="1" tint="0.14999847407452621"/>
      <name val="Aptos Narrow"/>
      <family val="2"/>
      <scheme val="minor"/>
    </font>
    <font>
      <sz val="11"/>
      <color rgb="FF9C0006"/>
      <name val="Aptos Narrow"/>
      <family val="2"/>
      <scheme val="minor"/>
    </font>
    <font>
      <sz val="12"/>
      <color theme="1"/>
      <name val="Aptos Narrow"/>
      <family val="2"/>
      <scheme val="minor"/>
    </font>
    <font>
      <b/>
      <sz val="14"/>
      <color theme="1"/>
      <name val="Aptos Narrow"/>
      <family val="2"/>
      <scheme val="minor"/>
    </font>
    <font>
      <sz val="14"/>
      <color theme="1"/>
      <name val="Aptos Narrow"/>
      <family val="2"/>
      <scheme val="minor"/>
    </font>
    <font>
      <b/>
      <sz val="11"/>
      <color rgb="FF9C0006"/>
      <name val="Aptos Narrow"/>
      <family val="2"/>
      <scheme val="minor"/>
    </font>
    <font>
      <b/>
      <sz val="11"/>
      <color rgb="FFFA7D00"/>
      <name val="Aptos Narrow"/>
      <family val="2"/>
      <scheme val="minor"/>
    </font>
  </fonts>
  <fills count="18">
    <fill>
      <patternFill patternType="none"/>
    </fill>
    <fill>
      <patternFill patternType="gray125"/>
    </fill>
    <fill>
      <patternFill patternType="solid">
        <fgColor theme="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rgb="FFFFC7CE"/>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bgColor indexed="64"/>
      </patternFill>
    </fill>
    <fill>
      <patternFill patternType="solid">
        <fgColor theme="4"/>
        <bgColor indexed="64"/>
      </patternFill>
    </fill>
    <fill>
      <patternFill patternType="solid">
        <fgColor rgb="FFF2F2F2"/>
      </patternFill>
    </fill>
  </fills>
  <borders count="2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top/>
      <bottom/>
      <diagonal/>
    </border>
    <border>
      <left/>
      <right/>
      <top style="thin">
        <color theme="2" tint="-0.249977111117893"/>
      </top>
      <bottom/>
      <diagonal/>
    </border>
    <border>
      <left style="thin">
        <color theme="2" tint="-0.249977111117893"/>
      </left>
      <right style="thin">
        <color theme="2" tint="-0.249977111117893"/>
      </right>
      <top style="thin">
        <color theme="2" tint="-0.249977111117893"/>
      </top>
      <bottom style="medium">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1" tint="0.14999847407452621"/>
      </bottom>
      <diagonal/>
    </border>
    <border>
      <left/>
      <right/>
      <top/>
      <bottom style="thin">
        <color theme="2" tint="-0.249977111117893"/>
      </bottom>
      <diagonal/>
    </border>
    <border>
      <left style="thin">
        <color theme="1" tint="0.14999847407452621"/>
      </left>
      <right/>
      <top style="thin">
        <color theme="1" tint="0.14999847407452621"/>
      </top>
      <bottom/>
      <diagonal/>
    </border>
    <border>
      <left/>
      <right/>
      <top style="thin">
        <color theme="1" tint="0.14999847407452621"/>
      </top>
      <bottom/>
      <diagonal/>
    </border>
    <border>
      <left/>
      <right style="thin">
        <color theme="1" tint="0.14999847407452621"/>
      </right>
      <top style="thin">
        <color theme="1" tint="0.14999847407452621"/>
      </top>
      <bottom/>
      <diagonal/>
    </border>
    <border>
      <left style="thin">
        <color theme="1" tint="0.14999847407452621"/>
      </left>
      <right/>
      <top/>
      <bottom style="thin">
        <color theme="1" tint="0.14999847407452621"/>
      </bottom>
      <diagonal/>
    </border>
    <border>
      <left/>
      <right/>
      <top/>
      <bottom style="thin">
        <color theme="1" tint="0.14999847407452621"/>
      </bottom>
      <diagonal/>
    </border>
    <border>
      <left/>
      <right style="thin">
        <color theme="1" tint="0.14999847407452621"/>
      </right>
      <top/>
      <bottom style="thin">
        <color theme="1" tint="0.14999847407452621"/>
      </bottom>
      <diagonal/>
    </border>
    <border>
      <left/>
      <right/>
      <top/>
      <bottom style="thin">
        <color theme="4" tint="0.39997558519241921"/>
      </bottom>
      <diagonal/>
    </border>
    <border>
      <left style="thin">
        <color theme="2" tint="-0.249977111117893"/>
      </left>
      <right style="thin">
        <color theme="2" tint="-0.249977111117893"/>
      </right>
      <top style="thin">
        <color theme="2" tint="-0.249977111117893"/>
      </top>
      <bottom style="thin">
        <color theme="1"/>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theme="1" tint="0.14999847407452621"/>
      </bottom>
      <diagonal/>
    </border>
    <border>
      <left/>
      <right/>
      <top/>
      <bottom style="thin">
        <color indexed="64"/>
      </bottom>
      <diagonal/>
    </border>
  </borders>
  <cellStyleXfs count="4">
    <xf numFmtId="0" fontId="0" fillId="0" borderId="0"/>
    <xf numFmtId="9" fontId="8" fillId="0" borderId="0" applyFont="0" applyFill="0" applyBorder="0" applyAlignment="0" applyProtection="0"/>
    <xf numFmtId="0" fontId="11" fillId="9" borderId="0" applyNumberFormat="0" applyBorder="0" applyAlignment="0" applyProtection="0"/>
    <xf numFmtId="0" fontId="16" fillId="17" borderId="19" applyNumberFormat="0" applyAlignment="0" applyProtection="0"/>
  </cellStyleXfs>
  <cellXfs count="98">
    <xf numFmtId="0" fontId="0" fillId="0" borderId="0" xfId="0"/>
    <xf numFmtId="0" fontId="0" fillId="0" borderId="0" xfId="0" applyAlignment="1">
      <alignment horizontal="center"/>
    </xf>
    <xf numFmtId="0" fontId="1" fillId="2" borderId="1" xfId="0" applyFont="1" applyFill="1" applyBorder="1" applyAlignment="1">
      <alignment horizontal="center"/>
    </xf>
    <xf numFmtId="164" fontId="0" fillId="0" borderId="1" xfId="0" applyNumberFormat="1" applyBorder="1"/>
    <xf numFmtId="164" fontId="4" fillId="0" borderId="1" xfId="0" applyNumberFormat="1" applyFont="1" applyBorder="1"/>
    <xf numFmtId="164" fontId="5" fillId="0" borderId="1" xfId="0" applyNumberFormat="1" applyFont="1" applyBorder="1"/>
    <xf numFmtId="0" fontId="0" fillId="0" borderId="1" xfId="0" applyBorder="1"/>
    <xf numFmtId="0" fontId="6" fillId="0" borderId="1" xfId="0" applyFont="1" applyBorder="1"/>
    <xf numFmtId="0" fontId="6" fillId="0" borderId="2" xfId="0" applyFont="1" applyBorder="1"/>
    <xf numFmtId="0" fontId="0" fillId="0" borderId="0" xfId="0" applyAlignment="1">
      <alignment horizontal="right"/>
    </xf>
    <xf numFmtId="2" fontId="0" fillId="0" borderId="0" xfId="0" applyNumberFormat="1" applyAlignment="1">
      <alignment horizontal="center"/>
    </xf>
    <xf numFmtId="0" fontId="0" fillId="0" borderId="0" xfId="0" applyAlignment="1">
      <alignment horizontal="center" wrapText="1"/>
    </xf>
    <xf numFmtId="0" fontId="0" fillId="0" borderId="0" xfId="0" quotePrefix="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xf>
    <xf numFmtId="0" fontId="2" fillId="0" borderId="3" xfId="0" applyFont="1" applyBorder="1" applyAlignment="1">
      <alignment vertical="center" wrapText="1"/>
    </xf>
    <xf numFmtId="2" fontId="0" fillId="0" borderId="3" xfId="0" applyNumberFormat="1" applyBorder="1" applyAlignment="1">
      <alignment horizontal="center"/>
    </xf>
    <xf numFmtId="0" fontId="0" fillId="0" borderId="3" xfId="0" applyBorder="1"/>
    <xf numFmtId="0" fontId="10" fillId="0" borderId="3" xfId="0" applyFont="1" applyBorder="1" applyAlignment="1">
      <alignment horizontal="left" vertical="center" wrapText="1"/>
    </xf>
    <xf numFmtId="0" fontId="10" fillId="0" borderId="0" xfId="0" applyFont="1" applyAlignment="1">
      <alignment horizontal="center"/>
    </xf>
    <xf numFmtId="0" fontId="10" fillId="0" borderId="3" xfId="0" applyFont="1" applyBorder="1" applyAlignment="1">
      <alignment horizontal="center" vertical="center" wrapText="1"/>
    </xf>
    <xf numFmtId="0" fontId="0" fillId="0" borderId="8" xfId="0" applyBorder="1"/>
    <xf numFmtId="2" fontId="0" fillId="0" borderId="8" xfId="0" applyNumberFormat="1" applyBorder="1" applyAlignment="1">
      <alignment horizontal="center"/>
    </xf>
    <xf numFmtId="0" fontId="0" fillId="0" borderId="7" xfId="0" applyBorder="1"/>
    <xf numFmtId="2" fontId="0" fillId="0" borderId="7" xfId="0" applyNumberFormat="1" applyBorder="1" applyAlignment="1">
      <alignment horizontal="center"/>
    </xf>
    <xf numFmtId="0" fontId="10" fillId="0" borderId="3" xfId="0" applyFont="1" applyBorder="1" applyAlignment="1">
      <alignment horizontal="center"/>
    </xf>
    <xf numFmtId="0" fontId="0" fillId="0" borderId="3" xfId="0" applyBorder="1" applyAlignment="1">
      <alignment horizontal="left" wrapText="1"/>
    </xf>
    <xf numFmtId="0" fontId="0" fillId="0" borderId="9" xfId="0" applyBorder="1"/>
    <xf numFmtId="2" fontId="0" fillId="0" borderId="9" xfId="0" applyNumberFormat="1" applyBorder="1" applyAlignment="1">
      <alignment horizontal="center"/>
    </xf>
    <xf numFmtId="9" fontId="0" fillId="0" borderId="3" xfId="1" applyFont="1" applyBorder="1" applyAlignment="1">
      <alignment horizontal="center"/>
    </xf>
    <xf numFmtId="0" fontId="2" fillId="0" borderId="8" xfId="0" applyFont="1" applyBorder="1"/>
    <xf numFmtId="0" fontId="2" fillId="0" borderId="3" xfId="0" applyFont="1" applyBorder="1" applyAlignment="1">
      <alignment wrapText="1"/>
    </xf>
    <xf numFmtId="0" fontId="2" fillId="0" borderId="3" xfId="0" applyFont="1" applyBorder="1"/>
    <xf numFmtId="0" fontId="0" fillId="0" borderId="3" xfId="0" applyBorder="1" applyAlignment="1">
      <alignment horizontal="right" indent="1"/>
    </xf>
    <xf numFmtId="0" fontId="0" fillId="0" borderId="9" xfId="0" applyBorder="1" applyAlignment="1">
      <alignment horizontal="right" indent="1"/>
    </xf>
    <xf numFmtId="0" fontId="0" fillId="0" borderId="14" xfId="0" applyBorder="1"/>
    <xf numFmtId="0" fontId="0" fillId="0" borderId="15" xfId="0" applyBorder="1"/>
    <xf numFmtId="0" fontId="0" fillId="0" borderId="16" xfId="0" applyBorder="1"/>
    <xf numFmtId="0" fontId="2" fillId="0" borderId="3" xfId="0" applyFont="1" applyBorder="1" applyAlignment="1">
      <alignment horizontal="right" indent="1"/>
    </xf>
    <xf numFmtId="0" fontId="2" fillId="0" borderId="3" xfId="0" applyFont="1" applyBorder="1" applyAlignment="1">
      <alignment horizontal="center" vertical="center"/>
    </xf>
    <xf numFmtId="0" fontId="2" fillId="0" borderId="3" xfId="0" applyFont="1" applyBorder="1" applyAlignment="1">
      <alignment vertical="center"/>
    </xf>
    <xf numFmtId="0" fontId="0" fillId="0" borderId="3" xfId="0" applyBorder="1" applyAlignment="1">
      <alignment horizontal="center" vertical="center"/>
    </xf>
    <xf numFmtId="9" fontId="0" fillId="0" borderId="3" xfId="0" applyNumberFormat="1" applyBorder="1" applyAlignment="1">
      <alignment horizontal="center" vertical="center"/>
    </xf>
    <xf numFmtId="2" fontId="0" fillId="0" borderId="3" xfId="0" applyNumberFormat="1" applyBorder="1" applyAlignment="1">
      <alignment horizontal="center" vertical="center"/>
    </xf>
    <xf numFmtId="0" fontId="0" fillId="0" borderId="0" xfId="0" applyAlignment="1">
      <alignment vertical="top" wrapText="1"/>
    </xf>
    <xf numFmtId="0" fontId="1" fillId="7" borderId="1"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wrapText="1"/>
    </xf>
    <xf numFmtId="0" fontId="2" fillId="10" borderId="0" xfId="0" applyFont="1" applyFill="1" applyAlignment="1">
      <alignment horizontal="left"/>
    </xf>
    <xf numFmtId="0" fontId="2" fillId="10" borderId="0" xfId="0" applyFont="1" applyFill="1" applyAlignment="1">
      <alignment horizontal="center"/>
    </xf>
    <xf numFmtId="0" fontId="2" fillId="10" borderId="0" xfId="0" applyFont="1" applyFill="1" applyAlignment="1">
      <alignment horizontal="center" wrapText="1"/>
    </xf>
    <xf numFmtId="0" fontId="2" fillId="10" borderId="1" xfId="0" applyFont="1" applyFill="1" applyBorder="1" applyAlignment="1">
      <alignment horizontal="center"/>
    </xf>
    <xf numFmtId="0" fontId="14" fillId="11" borderId="17" xfId="0" applyFont="1" applyFill="1" applyBorder="1" applyAlignment="1">
      <alignment vertical="center"/>
    </xf>
    <xf numFmtId="0" fontId="2" fillId="12" borderId="0" xfId="0" applyFont="1" applyFill="1"/>
    <xf numFmtId="0" fontId="1" fillId="13" borderId="1" xfId="0" applyFont="1" applyFill="1" applyBorder="1" applyAlignment="1">
      <alignment horizontal="center" wrapText="1"/>
    </xf>
    <xf numFmtId="0" fontId="2" fillId="2" borderId="1" xfId="0" applyFont="1" applyFill="1" applyBorder="1" applyAlignment="1">
      <alignment horizontal="center"/>
    </xf>
    <xf numFmtId="164" fontId="15" fillId="9" borderId="1" xfId="2" applyNumberFormat="1" applyFont="1" applyBorder="1"/>
    <xf numFmtId="0" fontId="0" fillId="0" borderId="18" xfId="0" applyBorder="1"/>
    <xf numFmtId="2" fontId="0" fillId="0" borderId="18" xfId="0" applyNumberFormat="1" applyBorder="1" applyAlignment="1">
      <alignment horizontal="center"/>
    </xf>
    <xf numFmtId="0" fontId="0" fillId="16" borderId="0" xfId="0" applyFill="1" applyAlignment="1">
      <alignment horizontal="center"/>
    </xf>
    <xf numFmtId="0" fontId="13" fillId="14" borderId="17" xfId="0" applyFont="1" applyFill="1" applyBorder="1" applyAlignment="1">
      <alignment horizontal="center" vertical="center"/>
    </xf>
    <xf numFmtId="0" fontId="0" fillId="0" borderId="0" xfId="0" applyAlignment="1">
      <alignment horizontal="center"/>
    </xf>
    <xf numFmtId="0" fontId="12" fillId="11" borderId="0" xfId="0" applyFont="1" applyFill="1" applyAlignment="1">
      <alignment horizontal="center"/>
    </xf>
    <xf numFmtId="0" fontId="12" fillId="11" borderId="17" xfId="0" applyFont="1" applyFill="1" applyBorder="1" applyAlignment="1">
      <alignment horizontal="center"/>
    </xf>
    <xf numFmtId="0" fontId="2" fillId="6" borderId="0" xfId="0" applyFont="1" applyFill="1" applyAlignment="1">
      <alignment horizontal="center" vertical="center"/>
    </xf>
    <xf numFmtId="0" fontId="1" fillId="15" borderId="5" xfId="0" applyFont="1" applyFill="1" applyBorder="1" applyAlignment="1">
      <alignment horizontal="center" vertical="center" wrapText="1"/>
    </xf>
    <xf numFmtId="0" fontId="0" fillId="0" borderId="6" xfId="0" applyBorder="1" applyAlignment="1">
      <alignment horizontal="center"/>
    </xf>
    <xf numFmtId="0" fontId="1" fillId="3" borderId="10" xfId="0" applyFont="1" applyFill="1" applyBorder="1" applyAlignment="1">
      <alignment horizontal="left"/>
    </xf>
    <xf numFmtId="0" fontId="1" fillId="4" borderId="10" xfId="0" applyFont="1" applyFill="1" applyBorder="1" applyAlignment="1">
      <alignment horizontal="left"/>
    </xf>
    <xf numFmtId="0" fontId="2" fillId="2" borderId="3" xfId="0" applyFont="1" applyFill="1" applyBorder="1" applyAlignment="1">
      <alignment horizontal="left"/>
    </xf>
    <xf numFmtId="0" fontId="1" fillId="5" borderId="0" xfId="0" applyFont="1" applyFill="1" applyAlignment="1">
      <alignment horizontal="left"/>
    </xf>
    <xf numFmtId="0" fontId="2" fillId="2" borderId="3" xfId="0" applyFont="1" applyFill="1" applyBorder="1" applyAlignment="1">
      <alignment horizontal="left" vertical="center"/>
    </xf>
    <xf numFmtId="0" fontId="0" fillId="0" borderId="4" xfId="0" applyBorder="1" applyAlignment="1">
      <alignment horizontal="center"/>
    </xf>
    <xf numFmtId="0" fontId="9" fillId="0" borderId="11" xfId="0" applyFont="1" applyBorder="1" applyAlignment="1">
      <alignment horizontal="left"/>
    </xf>
    <xf numFmtId="0" fontId="9" fillId="0" borderId="12" xfId="0" applyFont="1" applyBorder="1" applyAlignment="1">
      <alignment horizontal="left"/>
    </xf>
    <xf numFmtId="0" fontId="9" fillId="0" borderId="13" xfId="0" applyFont="1" applyBorder="1" applyAlignment="1">
      <alignment horizontal="left"/>
    </xf>
    <xf numFmtId="0" fontId="7" fillId="0" borderId="0" xfId="0" applyFont="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0" xfId="0" applyBorder="1" applyAlignment="1">
      <alignment horizontal="center"/>
    </xf>
    <xf numFmtId="0" fontId="0" fillId="0" borderId="0" xfId="0" applyAlignment="1">
      <alignment horizontal="left" vertical="top" wrapText="1" indent="1"/>
    </xf>
    <xf numFmtId="0" fontId="0" fillId="0" borderId="0" xfId="0" applyAlignment="1">
      <alignment horizontal="left" vertical="top" indent="1"/>
    </xf>
    <xf numFmtId="0" fontId="0" fillId="0" borderId="0" xfId="0" applyAlignment="1">
      <alignment horizontal="left" wrapText="1" indent="1"/>
    </xf>
    <xf numFmtId="0" fontId="0" fillId="0" borderId="0" xfId="0" applyAlignment="1">
      <alignment horizontal="left" indent="1"/>
    </xf>
    <xf numFmtId="0" fontId="0" fillId="0" borderId="0" xfId="0" applyAlignment="1">
      <alignment horizontal="left" vertical="top" wrapText="1"/>
    </xf>
    <xf numFmtId="0" fontId="0" fillId="0" borderId="0" xfId="0" applyAlignment="1">
      <alignment horizontal="left" vertical="top"/>
    </xf>
    <xf numFmtId="0" fontId="2" fillId="0" borderId="3" xfId="0" applyFont="1" applyBorder="1" applyAlignment="1">
      <alignment horizontal="left" vertical="top"/>
    </xf>
    <xf numFmtId="0" fontId="0" fillId="0" borderId="20" xfId="0" applyBorder="1" applyAlignment="1">
      <alignment horizontal="left"/>
    </xf>
    <xf numFmtId="0" fontId="16" fillId="17" borderId="19" xfId="3" applyAlignment="1">
      <alignment horizontal="center" vertical="center" wrapText="1"/>
    </xf>
    <xf numFmtId="0" fontId="0" fillId="0" borderId="21" xfId="0" applyBorder="1"/>
    <xf numFmtId="2" fontId="0" fillId="0" borderId="3" xfId="0" applyNumberFormat="1" applyFill="1" applyBorder="1" applyAlignment="1">
      <alignment horizontal="center"/>
    </xf>
    <xf numFmtId="2" fontId="0" fillId="0" borderId="7" xfId="0" applyNumberFormat="1" applyFill="1" applyBorder="1" applyAlignment="1">
      <alignment horizontal="center"/>
    </xf>
    <xf numFmtId="2" fontId="0" fillId="0" borderId="8" xfId="0" applyNumberFormat="1" applyFill="1" applyBorder="1" applyAlignment="1">
      <alignment horizontal="center"/>
    </xf>
  </cellXfs>
  <cellStyles count="4">
    <cellStyle name="Bad" xfId="2" builtinId="27"/>
    <cellStyle name="Calculation" xfId="3" builtinId="22"/>
    <cellStyle name="Normal" xfId="0" builtinId="0"/>
    <cellStyle name="Percent" xfId="1" builtinId="5"/>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font>
        <color rgb="FFC00000"/>
      </font>
      <fill>
        <patternFill>
          <bgColor theme="5" tint="0.39994506668294322"/>
        </patternFill>
      </fill>
    </dxf>
  </dxfs>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'CELD Results'!$H$12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AB96-42B4-B912-DA56716A2DD2}"/>
              </c:ext>
            </c:extLst>
          </c:dPt>
          <c:dPt>
            <c:idx val="1"/>
            <c:invertIfNegative val="0"/>
            <c:bubble3D val="0"/>
            <c:spPr>
              <a:solidFill>
                <a:srgbClr val="FFC000"/>
              </a:solidFill>
              <a:ln>
                <a:noFill/>
              </a:ln>
              <a:effectLst/>
            </c:spPr>
            <c:extLst>
              <c:ext xmlns:c16="http://schemas.microsoft.com/office/drawing/2014/chart" uri="{C3380CC4-5D6E-409C-BE32-E72D297353CC}">
                <c16:uniqueId val="{00000002-AB96-42B4-B912-DA56716A2DD2}"/>
              </c:ext>
            </c:extLst>
          </c:dPt>
          <c:dPt>
            <c:idx val="2"/>
            <c:invertIfNegative val="0"/>
            <c:bubble3D val="0"/>
            <c:spPr>
              <a:solidFill>
                <a:srgbClr val="92D050"/>
              </a:solidFill>
              <a:ln>
                <a:noFill/>
              </a:ln>
              <a:effectLst/>
            </c:spPr>
            <c:extLst>
              <c:ext xmlns:c16="http://schemas.microsoft.com/office/drawing/2014/chart" uri="{C3380CC4-5D6E-409C-BE32-E72D297353CC}">
                <c16:uniqueId val="{00000003-AB96-42B4-B912-DA56716A2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Results'!$H$13:$H$15</c:f>
              <c:numCache>
                <c:formatCode>0.00</c:formatCode>
                <c:ptCount val="3"/>
                <c:pt idx="0" formatCode="General">
                  <c:v>252</c:v>
                </c:pt>
                <c:pt idx="1">
                  <c:v>210</c:v>
                </c:pt>
                <c:pt idx="2">
                  <c:v>154.00000000000003</c:v>
                </c:pt>
              </c:numCache>
            </c:numRef>
          </c:val>
          <c:extLst>
            <c:ext xmlns:c16="http://schemas.microsoft.com/office/drawing/2014/chart" uri="{C3380CC4-5D6E-409C-BE32-E72D297353CC}">
              <c16:uniqueId val="{00000000-AB96-42B4-B912-DA56716A2DD2}"/>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'CELD Results'!$K$12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Results'!$K$13:$K$15</c:f>
              <c:numCache>
                <c:formatCode>0.00</c:formatCode>
                <c:ptCount val="3"/>
                <c:pt idx="0" formatCode="General">
                  <c:v>84</c:v>
                </c:pt>
                <c:pt idx="1">
                  <c:v>75.333333333333314</c:v>
                </c:pt>
                <c:pt idx="2">
                  <c:v>63.777777777777793</c:v>
                </c:pt>
              </c:numCache>
            </c:numRef>
          </c:val>
          <c:extLst>
            <c:ext xmlns:c16="http://schemas.microsoft.com/office/drawing/2014/chart" uri="{C3380CC4-5D6E-409C-BE32-E72D297353CC}">
              <c16:uniqueId val="{00000000-4482-4F5E-9C8A-B7DCAF823FD1}"/>
            </c:ext>
          </c:extLst>
        </c:ser>
        <c:ser>
          <c:idx val="1"/>
          <c:order val="1"/>
          <c:tx>
            <c:strRef>
              <c:f>'CELD Results'!$L$12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Results'!$L$13:$L$15</c:f>
              <c:numCache>
                <c:formatCode>0.00</c:formatCode>
                <c:ptCount val="3"/>
                <c:pt idx="0" formatCode="General">
                  <c:v>84</c:v>
                </c:pt>
                <c:pt idx="1">
                  <c:v>69.999999999999986</c:v>
                </c:pt>
                <c:pt idx="2">
                  <c:v>51.33333333333335</c:v>
                </c:pt>
              </c:numCache>
            </c:numRef>
          </c:val>
          <c:extLst>
            <c:ext xmlns:c16="http://schemas.microsoft.com/office/drawing/2014/chart" uri="{C3380CC4-5D6E-409C-BE32-E72D297353CC}">
              <c16:uniqueId val="{00000001-4482-4F5E-9C8A-B7DCAF823FD1}"/>
            </c:ext>
          </c:extLst>
        </c:ser>
        <c:ser>
          <c:idx val="2"/>
          <c:order val="2"/>
          <c:tx>
            <c:strRef>
              <c:f>'CELD Results'!$M$12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Results'!$G$13:$G$15</c:f>
              <c:strCache>
                <c:ptCount val="3"/>
                <c:pt idx="0">
                  <c:v>Scenario 1 – No Reman</c:v>
                </c:pt>
                <c:pt idx="1">
                  <c:v>Scenario 2 – Moderate Reman</c:v>
                </c:pt>
                <c:pt idx="2">
                  <c:v>Scenario 3 – Max Reman</c:v>
                </c:pt>
              </c:strCache>
            </c:strRef>
          </c:cat>
          <c:val>
            <c:numRef>
              <c:f>'CELD Results'!$M$13:$M$15</c:f>
              <c:numCache>
                <c:formatCode>0.00</c:formatCode>
                <c:ptCount val="3"/>
                <c:pt idx="0" formatCode="General">
                  <c:v>84</c:v>
                </c:pt>
                <c:pt idx="1">
                  <c:v>64.666666666666686</c:v>
                </c:pt>
                <c:pt idx="2">
                  <c:v>38.888888888888886</c:v>
                </c:pt>
              </c:numCache>
            </c:numRef>
          </c:val>
          <c:extLst>
            <c:ext xmlns:c16="http://schemas.microsoft.com/office/drawing/2014/chart" uri="{C3380CC4-5D6E-409C-BE32-E72D297353CC}">
              <c16:uniqueId val="{00000002-4482-4F5E-9C8A-B7DCAF823FD1}"/>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'CELD Results'!$O$13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Results'!$P$13:$R$13</c:f>
              <c:numCache>
                <c:formatCode>0%</c:formatCode>
                <c:ptCount val="3"/>
                <c:pt idx="0">
                  <c:v>0.33333333333333331</c:v>
                </c:pt>
                <c:pt idx="1">
                  <c:v>0.35873015873015862</c:v>
                </c:pt>
                <c:pt idx="2">
                  <c:v>0.41414141414141414</c:v>
                </c:pt>
              </c:numCache>
            </c:numRef>
          </c:val>
          <c:extLst>
            <c:ext xmlns:c16="http://schemas.microsoft.com/office/drawing/2014/chart" uri="{C3380CC4-5D6E-409C-BE32-E72D297353CC}">
              <c16:uniqueId val="{00000000-411D-4AE6-ACF5-14A9D4838D3F}"/>
            </c:ext>
          </c:extLst>
        </c:ser>
        <c:ser>
          <c:idx val="1"/>
          <c:order val="1"/>
          <c:tx>
            <c:strRef>
              <c:f>'CELD Results'!$O$14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Results'!$P$14:$R$14</c:f>
              <c:numCache>
                <c:formatCode>0%</c:formatCode>
                <c:ptCount val="3"/>
                <c:pt idx="0">
                  <c:v>0.33333333333333331</c:v>
                </c:pt>
                <c:pt idx="1">
                  <c:v>0.33333333333333326</c:v>
                </c:pt>
                <c:pt idx="2">
                  <c:v>0.33333333333333337</c:v>
                </c:pt>
              </c:numCache>
            </c:numRef>
          </c:val>
          <c:extLst>
            <c:ext xmlns:c16="http://schemas.microsoft.com/office/drawing/2014/chart" uri="{C3380CC4-5D6E-409C-BE32-E72D297353CC}">
              <c16:uniqueId val="{00000001-411D-4AE6-ACF5-14A9D4838D3F}"/>
            </c:ext>
          </c:extLst>
        </c:ser>
        <c:ser>
          <c:idx val="2"/>
          <c:order val="2"/>
          <c:tx>
            <c:strRef>
              <c:f>'CELD Results'!$O$15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'CELD Results'!$P$12:$R$12</c:f>
              <c:strCache>
                <c:ptCount val="3"/>
                <c:pt idx="0">
                  <c:v>Scenario 1 – Description</c:v>
                </c:pt>
                <c:pt idx="1">
                  <c:v>Scenario 2 –  Description</c:v>
                </c:pt>
                <c:pt idx="2">
                  <c:v>Scenario 3 –  Description</c:v>
                </c:pt>
              </c:strCache>
            </c:strRef>
          </c:cat>
          <c:val>
            <c:numRef>
              <c:f>'CELD Results'!$P$15:$R$15</c:f>
              <c:numCache>
                <c:formatCode>0%</c:formatCode>
                <c:ptCount val="3"/>
                <c:pt idx="0">
                  <c:v>0.33333333333333331</c:v>
                </c:pt>
                <c:pt idx="1">
                  <c:v>0.30793650793650801</c:v>
                </c:pt>
                <c:pt idx="2">
                  <c:v>0.25252525252525243</c:v>
                </c:pt>
              </c:numCache>
            </c:numRef>
          </c:val>
          <c:extLst>
            <c:ext xmlns:c16="http://schemas.microsoft.com/office/drawing/2014/chart" uri="{C3380CC4-5D6E-409C-BE32-E72D297353CC}">
              <c16:uniqueId val="{00000002-411D-4AE6-ACF5-14A9D4838D3F}"/>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'Cut-off Results'!$H$12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41FE-4DFC-9AA5-8327B087BC24}"/>
              </c:ext>
            </c:extLst>
          </c:dPt>
          <c:dPt>
            <c:idx val="1"/>
            <c:invertIfNegative val="0"/>
            <c:bubble3D val="0"/>
            <c:spPr>
              <a:solidFill>
                <a:srgbClr val="FFC000"/>
              </a:solidFill>
              <a:ln>
                <a:noFill/>
              </a:ln>
              <a:effectLst/>
            </c:spPr>
            <c:extLst>
              <c:ext xmlns:c16="http://schemas.microsoft.com/office/drawing/2014/chart" uri="{C3380CC4-5D6E-409C-BE32-E72D297353CC}">
                <c16:uniqueId val="{00000003-41FE-4DFC-9AA5-8327B087BC24}"/>
              </c:ext>
            </c:extLst>
          </c:dPt>
          <c:dPt>
            <c:idx val="2"/>
            <c:invertIfNegative val="0"/>
            <c:bubble3D val="0"/>
            <c:spPr>
              <a:solidFill>
                <a:srgbClr val="92D050"/>
              </a:solidFill>
              <a:ln>
                <a:noFill/>
              </a:ln>
              <a:effectLst/>
            </c:spPr>
            <c:extLst>
              <c:ext xmlns:c16="http://schemas.microsoft.com/office/drawing/2014/chart" uri="{C3380CC4-5D6E-409C-BE32-E72D297353CC}">
                <c16:uniqueId val="{00000005-41FE-4DFC-9AA5-8327B087BC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Results'!$H$13:$H$15</c:f>
              <c:numCache>
                <c:formatCode>0.00</c:formatCode>
                <c:ptCount val="3"/>
                <c:pt idx="0" formatCode="General">
                  <c:v>0</c:v>
                </c:pt>
                <c:pt idx="1">
                  <c:v>0</c:v>
                </c:pt>
                <c:pt idx="2">
                  <c:v>0</c:v>
                </c:pt>
              </c:numCache>
            </c:numRef>
          </c:val>
          <c:extLst>
            <c:ext xmlns:c16="http://schemas.microsoft.com/office/drawing/2014/chart" uri="{C3380CC4-5D6E-409C-BE32-E72D297353CC}">
              <c16:uniqueId val="{00000006-41FE-4DFC-9AA5-8327B087BC24}"/>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'Cut-off Results'!$K$12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Results'!$K$13:$K$15</c:f>
              <c:numCache>
                <c:formatCode>0.00</c:formatCode>
                <c:ptCount val="3"/>
                <c:pt idx="0" formatCode="General">
                  <c:v>0</c:v>
                </c:pt>
                <c:pt idx="1">
                  <c:v>0</c:v>
                </c:pt>
                <c:pt idx="2">
                  <c:v>0</c:v>
                </c:pt>
              </c:numCache>
            </c:numRef>
          </c:val>
          <c:extLst>
            <c:ext xmlns:c16="http://schemas.microsoft.com/office/drawing/2014/chart" uri="{C3380CC4-5D6E-409C-BE32-E72D297353CC}">
              <c16:uniqueId val="{00000000-6817-4793-A683-D1D332487E18}"/>
            </c:ext>
          </c:extLst>
        </c:ser>
        <c:ser>
          <c:idx val="1"/>
          <c:order val="1"/>
          <c:tx>
            <c:strRef>
              <c:f>'Cut-off Results'!$L$12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Results'!$L$13:$L$15</c:f>
              <c:numCache>
                <c:formatCode>0.00</c:formatCode>
                <c:ptCount val="3"/>
                <c:pt idx="0" formatCode="General">
                  <c:v>0</c:v>
                </c:pt>
                <c:pt idx="1">
                  <c:v>0</c:v>
                </c:pt>
                <c:pt idx="2">
                  <c:v>0</c:v>
                </c:pt>
              </c:numCache>
            </c:numRef>
          </c:val>
          <c:extLst>
            <c:ext xmlns:c16="http://schemas.microsoft.com/office/drawing/2014/chart" uri="{C3380CC4-5D6E-409C-BE32-E72D297353CC}">
              <c16:uniqueId val="{00000001-6817-4793-A683-D1D332487E18}"/>
            </c:ext>
          </c:extLst>
        </c:ser>
        <c:ser>
          <c:idx val="2"/>
          <c:order val="2"/>
          <c:tx>
            <c:strRef>
              <c:f>'Cut-off Results'!$M$12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Results'!$G$13:$G$15</c:f>
              <c:strCache>
                <c:ptCount val="3"/>
                <c:pt idx="0">
                  <c:v>Scenario 1 – No Reman</c:v>
                </c:pt>
                <c:pt idx="1">
                  <c:v>Scenario 2 – Moderate Reman</c:v>
                </c:pt>
                <c:pt idx="2">
                  <c:v>Scenario 3 – Max Reman</c:v>
                </c:pt>
              </c:strCache>
            </c:strRef>
          </c:cat>
          <c:val>
            <c:numRef>
              <c:f>'Cut-off Results'!$M$13:$M$15</c:f>
              <c:numCache>
                <c:formatCode>0.00</c:formatCode>
                <c:ptCount val="3"/>
                <c:pt idx="0" formatCode="General">
                  <c:v>0</c:v>
                </c:pt>
                <c:pt idx="1">
                  <c:v>0</c:v>
                </c:pt>
                <c:pt idx="2">
                  <c:v>0</c:v>
                </c:pt>
              </c:numCache>
            </c:numRef>
          </c:val>
          <c:extLst>
            <c:ext xmlns:c16="http://schemas.microsoft.com/office/drawing/2014/chart" uri="{C3380CC4-5D6E-409C-BE32-E72D297353CC}">
              <c16:uniqueId val="{00000002-6817-4793-A683-D1D332487E18}"/>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'Cut-off Results'!$O$13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Results'!$P$13:$R$13</c:f>
              <c:numCache>
                <c:formatCode>0%</c:formatCode>
                <c:ptCount val="3"/>
                <c:pt idx="0">
                  <c:v>0</c:v>
                </c:pt>
                <c:pt idx="1">
                  <c:v>0</c:v>
                </c:pt>
                <c:pt idx="2">
                  <c:v>0</c:v>
                </c:pt>
              </c:numCache>
            </c:numRef>
          </c:val>
          <c:extLst>
            <c:ext xmlns:c16="http://schemas.microsoft.com/office/drawing/2014/chart" uri="{C3380CC4-5D6E-409C-BE32-E72D297353CC}">
              <c16:uniqueId val="{00000000-369D-4070-84BF-81C21863D6BC}"/>
            </c:ext>
          </c:extLst>
        </c:ser>
        <c:ser>
          <c:idx val="1"/>
          <c:order val="1"/>
          <c:tx>
            <c:strRef>
              <c:f>'Cut-off Results'!$O$14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Results'!$P$14:$R$14</c:f>
              <c:numCache>
                <c:formatCode>0%</c:formatCode>
                <c:ptCount val="3"/>
                <c:pt idx="0">
                  <c:v>0</c:v>
                </c:pt>
                <c:pt idx="1">
                  <c:v>0</c:v>
                </c:pt>
                <c:pt idx="2">
                  <c:v>0</c:v>
                </c:pt>
              </c:numCache>
            </c:numRef>
          </c:val>
          <c:extLst>
            <c:ext xmlns:c16="http://schemas.microsoft.com/office/drawing/2014/chart" uri="{C3380CC4-5D6E-409C-BE32-E72D297353CC}">
              <c16:uniqueId val="{00000001-369D-4070-84BF-81C21863D6BC}"/>
            </c:ext>
          </c:extLst>
        </c:ser>
        <c:ser>
          <c:idx val="2"/>
          <c:order val="2"/>
          <c:tx>
            <c:strRef>
              <c:f>'Cut-off Results'!$O$15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'Cut-off Results'!$P$12:$R$12</c:f>
              <c:strCache>
                <c:ptCount val="3"/>
                <c:pt idx="0">
                  <c:v>Scenario 1 – Description</c:v>
                </c:pt>
                <c:pt idx="1">
                  <c:v>Scenario 2 –  Description</c:v>
                </c:pt>
                <c:pt idx="2">
                  <c:v>Scenario 3 –  Description</c:v>
                </c:pt>
              </c:strCache>
            </c:strRef>
          </c:cat>
          <c:val>
            <c:numRef>
              <c:f>'Cut-off Results'!$P$15:$R$15</c:f>
              <c:numCache>
                <c:formatCode>0%</c:formatCode>
                <c:ptCount val="3"/>
                <c:pt idx="0">
                  <c:v>0</c:v>
                </c:pt>
                <c:pt idx="1">
                  <c:v>0</c:v>
                </c:pt>
                <c:pt idx="2">
                  <c:v>0</c:v>
                </c:pt>
              </c:numCache>
            </c:numRef>
          </c:val>
          <c:extLst>
            <c:ext xmlns:c16="http://schemas.microsoft.com/office/drawing/2014/chart" uri="{C3380CC4-5D6E-409C-BE32-E72D297353CC}">
              <c16:uniqueId val="{00000002-369D-4070-84BF-81C21863D6BC}"/>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baseline="0">
                <a:solidFill>
                  <a:sysClr val="windowText" lastClr="000000"/>
                </a:solidFill>
              </a:rPr>
              <a:t>Total Climate Change Impact Over 30 Years by Scenario</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25651811607932"/>
          <c:y val="0.13825859923841599"/>
          <c:w val="0.85325531296271173"/>
          <c:h val="0.76949611039197696"/>
        </c:manualLayout>
      </c:layout>
      <c:barChart>
        <c:barDir val="col"/>
        <c:grouping val="clustered"/>
        <c:varyColors val="0"/>
        <c:ser>
          <c:idx val="0"/>
          <c:order val="0"/>
          <c:tx>
            <c:strRef>
              <c:f>'Equal Share Results '!$H$12</c:f>
              <c:strCache>
                <c:ptCount val="1"/>
                <c:pt idx="0">
                  <c:v>Total Impact (kg CO₂-eq)</c:v>
                </c:pt>
              </c:strCache>
            </c:strRef>
          </c:tx>
          <c:spPr>
            <a:solidFill>
              <a:schemeClr val="accent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6B65-4875-9AAE-C50AA361BB19}"/>
              </c:ext>
            </c:extLst>
          </c:dPt>
          <c:dPt>
            <c:idx val="1"/>
            <c:invertIfNegative val="0"/>
            <c:bubble3D val="0"/>
            <c:spPr>
              <a:solidFill>
                <a:srgbClr val="FFC000"/>
              </a:solidFill>
              <a:ln>
                <a:noFill/>
              </a:ln>
              <a:effectLst/>
            </c:spPr>
            <c:extLst>
              <c:ext xmlns:c16="http://schemas.microsoft.com/office/drawing/2014/chart" uri="{C3380CC4-5D6E-409C-BE32-E72D297353CC}">
                <c16:uniqueId val="{00000003-6B65-4875-9AAE-C50AA361BB19}"/>
              </c:ext>
            </c:extLst>
          </c:dPt>
          <c:dPt>
            <c:idx val="2"/>
            <c:invertIfNegative val="0"/>
            <c:bubble3D val="0"/>
            <c:spPr>
              <a:solidFill>
                <a:srgbClr val="92D050"/>
              </a:solidFill>
              <a:ln>
                <a:noFill/>
              </a:ln>
              <a:effectLst/>
            </c:spPr>
            <c:extLst>
              <c:ext xmlns:c16="http://schemas.microsoft.com/office/drawing/2014/chart" uri="{C3380CC4-5D6E-409C-BE32-E72D297353CC}">
                <c16:uniqueId val="{00000005-6B65-4875-9AAE-C50AA361B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'!$H$13:$H$15</c:f>
              <c:numCache>
                <c:formatCode>0.00</c:formatCode>
                <c:ptCount val="3"/>
                <c:pt idx="0" formatCode="General">
                  <c:v>0</c:v>
                </c:pt>
                <c:pt idx="1">
                  <c:v>0</c:v>
                </c:pt>
                <c:pt idx="2">
                  <c:v>0</c:v>
                </c:pt>
              </c:numCache>
            </c:numRef>
          </c:val>
          <c:extLst>
            <c:ext xmlns:c16="http://schemas.microsoft.com/office/drawing/2014/chart" uri="{C3380CC4-5D6E-409C-BE32-E72D297353CC}">
              <c16:uniqueId val="{00000006-6B65-4875-9AAE-C50AA361BB19}"/>
            </c:ext>
          </c:extLst>
        </c:ser>
        <c:dLbls>
          <c:dLblPos val="outEnd"/>
          <c:showLegendKey val="0"/>
          <c:showVal val="1"/>
          <c:showCatName val="0"/>
          <c:showSerName val="0"/>
          <c:showPercent val="0"/>
          <c:showBubbleSize val="0"/>
        </c:dLbls>
        <c:gapWidth val="219"/>
        <c:overlap val="-27"/>
        <c:axId val="745410799"/>
        <c:axId val="745413199"/>
      </c:barChart>
      <c:catAx>
        <c:axId val="745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3199"/>
        <c:crosses val="autoZero"/>
        <c:auto val="1"/>
        <c:lblAlgn val="ctr"/>
        <c:lblOffset val="100"/>
        <c:noMultiLvlLbl val="0"/>
      </c:catAx>
      <c:valAx>
        <c:axId val="74541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a:t>
                </a:r>
                <a:r>
                  <a:rPr lang="en-ZA" sz="1000" b="0" i="0" u="none" strike="noStrike" baseline="0"/>
                  <a:t>Climate Impact (kg CO₂-eq)</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ZA" sz="1200">
                <a:solidFill>
                  <a:sysClr val="windowText" lastClr="000000"/>
                </a:solidFill>
              </a:rPr>
              <a:t>Distribution</a:t>
            </a:r>
            <a:r>
              <a:rPr lang="en-ZA" sz="1200" baseline="0">
                <a:solidFill>
                  <a:sysClr val="windowText" lastClr="000000"/>
                </a:solidFill>
              </a:rPr>
              <a:t> of </a:t>
            </a:r>
            <a:r>
              <a:rPr lang="en-ZA" sz="1200">
                <a:solidFill>
                  <a:sysClr val="windowText" lastClr="000000"/>
                </a:solidFill>
              </a:rPr>
              <a:t>Climate Change Impacts Over 3 Cycle for</a:t>
            </a:r>
            <a:r>
              <a:rPr lang="en-ZA" sz="1200" baseline="0">
                <a:solidFill>
                  <a:sysClr val="windowText" lastClr="000000"/>
                </a:solidFill>
              </a:rPr>
              <a:t> Each Remanufacturing  </a:t>
            </a:r>
            <a:r>
              <a:rPr lang="en-ZA" sz="1200">
                <a:solidFill>
                  <a:sysClr val="windowText" lastClr="000000"/>
                </a:solidFill>
              </a:rPr>
              <a:t>Scenario </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'Equal Share Results '!$K$12</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'!$K$13:$K$15</c:f>
              <c:numCache>
                <c:formatCode>0.00</c:formatCode>
                <c:ptCount val="3"/>
                <c:pt idx="0" formatCode="General">
                  <c:v>0</c:v>
                </c:pt>
                <c:pt idx="1">
                  <c:v>0</c:v>
                </c:pt>
                <c:pt idx="2">
                  <c:v>0</c:v>
                </c:pt>
              </c:numCache>
            </c:numRef>
          </c:val>
          <c:extLst>
            <c:ext xmlns:c16="http://schemas.microsoft.com/office/drawing/2014/chart" uri="{C3380CC4-5D6E-409C-BE32-E72D297353CC}">
              <c16:uniqueId val="{00000000-E4EB-4891-933B-75BC26A32738}"/>
            </c:ext>
          </c:extLst>
        </c:ser>
        <c:ser>
          <c:idx val="1"/>
          <c:order val="1"/>
          <c:tx>
            <c:strRef>
              <c:f>'Equal Share Results '!$L$12</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'!$L$13:$L$15</c:f>
              <c:numCache>
                <c:formatCode>0.00</c:formatCode>
                <c:ptCount val="3"/>
                <c:pt idx="0" formatCode="General">
                  <c:v>0</c:v>
                </c:pt>
                <c:pt idx="1">
                  <c:v>0</c:v>
                </c:pt>
                <c:pt idx="2">
                  <c:v>0</c:v>
                </c:pt>
              </c:numCache>
            </c:numRef>
          </c:val>
          <c:extLst>
            <c:ext xmlns:c16="http://schemas.microsoft.com/office/drawing/2014/chart" uri="{C3380CC4-5D6E-409C-BE32-E72D297353CC}">
              <c16:uniqueId val="{00000001-E4EB-4891-933B-75BC26A32738}"/>
            </c:ext>
          </c:extLst>
        </c:ser>
        <c:ser>
          <c:idx val="2"/>
          <c:order val="2"/>
          <c:tx>
            <c:strRef>
              <c:f>'Equal Share Results '!$M$12</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'!$G$13:$G$15</c:f>
              <c:strCache>
                <c:ptCount val="3"/>
                <c:pt idx="0">
                  <c:v>Scenario 1 – No Reman</c:v>
                </c:pt>
                <c:pt idx="1">
                  <c:v>Scenario 2 – Moderate Reman</c:v>
                </c:pt>
                <c:pt idx="2">
                  <c:v>Scenario 3 – Max Reman</c:v>
                </c:pt>
              </c:strCache>
            </c:strRef>
          </c:cat>
          <c:val>
            <c:numRef>
              <c:f>'Equal Share Results '!$M$13:$M$15</c:f>
              <c:numCache>
                <c:formatCode>0.00</c:formatCode>
                <c:ptCount val="3"/>
                <c:pt idx="0" formatCode="General">
                  <c:v>0</c:v>
                </c:pt>
                <c:pt idx="1">
                  <c:v>0</c:v>
                </c:pt>
                <c:pt idx="2">
                  <c:v>0</c:v>
                </c:pt>
              </c:numCache>
            </c:numRef>
          </c:val>
          <c:extLst>
            <c:ext xmlns:c16="http://schemas.microsoft.com/office/drawing/2014/chart" uri="{C3380CC4-5D6E-409C-BE32-E72D297353CC}">
              <c16:uniqueId val="{00000002-E4EB-4891-933B-75BC26A32738}"/>
            </c:ext>
          </c:extLst>
        </c:ser>
        <c:dLbls>
          <c:showLegendKey val="0"/>
          <c:showVal val="0"/>
          <c:showCatName val="0"/>
          <c:showSerName val="0"/>
          <c:showPercent val="0"/>
          <c:showBubbleSize val="0"/>
        </c:dLbls>
        <c:gapWidth val="150"/>
        <c:overlap val="100"/>
        <c:axId val="914247631"/>
        <c:axId val="914244751"/>
      </c:barChart>
      <c:catAx>
        <c:axId val="9142476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Scenario</a:t>
                </a:r>
                <a:r>
                  <a:rPr lang="en-ZA" baseline="0"/>
                  <a:t> 1 - No reman 	Scenario 2 - Moderate Reman 	Scenario 3 - High Reman</a:t>
                </a:r>
                <a:endParaRPr lang="en-ZA"/>
              </a:p>
            </c:rich>
          </c:tx>
          <c:layout>
            <c:manualLayout>
              <c:xMode val="edge"/>
              <c:yMode val="edge"/>
              <c:x val="0.18670394585668634"/>
              <c:y val="0.934801421845502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crossAx val="914244751"/>
        <c:crosses val="autoZero"/>
        <c:auto val="1"/>
        <c:lblAlgn val="ctr"/>
        <c:lblOffset val="100"/>
        <c:noMultiLvlLbl val="0"/>
      </c:catAx>
      <c:valAx>
        <c:axId val="914244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47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ZA" sz="1200" b="0" i="0" u="none" strike="noStrike" kern="1200" spc="0" baseline="0">
                <a:solidFill>
                  <a:sysClr val="windowText" lastClr="000000"/>
                </a:solidFill>
              </a:rPr>
              <a:t>Distribution of Climate Change Impacts Over 3 Cycle for Each Remanufacturing  Scenario</a:t>
            </a:r>
            <a:endParaRPr lang="en-ZA"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stacked"/>
        <c:varyColors val="0"/>
        <c:ser>
          <c:idx val="0"/>
          <c:order val="0"/>
          <c:tx>
            <c:strRef>
              <c:f>'Equal Share Results '!$O$13</c:f>
              <c:strCache>
                <c:ptCount val="1"/>
                <c:pt idx="0">
                  <c:v>Cycle 1 Impact (kg CO₂-eq)</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'!$P$13:$R$13</c:f>
              <c:numCache>
                <c:formatCode>0%</c:formatCode>
                <c:ptCount val="3"/>
                <c:pt idx="0">
                  <c:v>0</c:v>
                </c:pt>
                <c:pt idx="1">
                  <c:v>0</c:v>
                </c:pt>
                <c:pt idx="2">
                  <c:v>0</c:v>
                </c:pt>
              </c:numCache>
            </c:numRef>
          </c:val>
          <c:extLst>
            <c:ext xmlns:c16="http://schemas.microsoft.com/office/drawing/2014/chart" uri="{C3380CC4-5D6E-409C-BE32-E72D297353CC}">
              <c16:uniqueId val="{00000000-D799-4310-A6A7-48C088E66273}"/>
            </c:ext>
          </c:extLst>
        </c:ser>
        <c:ser>
          <c:idx val="1"/>
          <c:order val="1"/>
          <c:tx>
            <c:strRef>
              <c:f>'Equal Share Results '!$O$14</c:f>
              <c:strCache>
                <c:ptCount val="1"/>
                <c:pt idx="0">
                  <c:v>Cycle 2 Impact (kg CO₂-eq)</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'!$P$14:$R$14</c:f>
              <c:numCache>
                <c:formatCode>0%</c:formatCode>
                <c:ptCount val="3"/>
                <c:pt idx="0">
                  <c:v>0</c:v>
                </c:pt>
                <c:pt idx="1">
                  <c:v>0</c:v>
                </c:pt>
                <c:pt idx="2">
                  <c:v>0</c:v>
                </c:pt>
              </c:numCache>
            </c:numRef>
          </c:val>
          <c:extLst>
            <c:ext xmlns:c16="http://schemas.microsoft.com/office/drawing/2014/chart" uri="{C3380CC4-5D6E-409C-BE32-E72D297353CC}">
              <c16:uniqueId val="{00000001-D799-4310-A6A7-48C088E66273}"/>
            </c:ext>
          </c:extLst>
        </c:ser>
        <c:ser>
          <c:idx val="2"/>
          <c:order val="2"/>
          <c:tx>
            <c:strRef>
              <c:f>'Equal Share Results '!$O$15</c:f>
              <c:strCache>
                <c:ptCount val="1"/>
                <c:pt idx="0">
                  <c:v>Cycle 3 Impact (kg CO₂-eq)</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'Equal Share Results '!$P$12:$R$12</c:f>
              <c:strCache>
                <c:ptCount val="3"/>
                <c:pt idx="0">
                  <c:v>Scenario 1 – Description</c:v>
                </c:pt>
                <c:pt idx="1">
                  <c:v>Scenario 2 –  Description</c:v>
                </c:pt>
                <c:pt idx="2">
                  <c:v>Scenario 3 –  Description</c:v>
                </c:pt>
              </c:strCache>
            </c:strRef>
          </c:cat>
          <c:val>
            <c:numRef>
              <c:f>'Equal Share Results '!$P$15:$R$15</c:f>
              <c:numCache>
                <c:formatCode>0%</c:formatCode>
                <c:ptCount val="3"/>
                <c:pt idx="0">
                  <c:v>0</c:v>
                </c:pt>
                <c:pt idx="1">
                  <c:v>0</c:v>
                </c:pt>
                <c:pt idx="2">
                  <c:v>0</c:v>
                </c:pt>
              </c:numCache>
            </c:numRef>
          </c:val>
          <c:extLst>
            <c:ext xmlns:c16="http://schemas.microsoft.com/office/drawing/2014/chart" uri="{C3380CC4-5D6E-409C-BE32-E72D297353CC}">
              <c16:uniqueId val="{00000002-D799-4310-A6A7-48C088E66273}"/>
            </c:ext>
          </c:extLst>
        </c:ser>
        <c:dLbls>
          <c:dLblPos val="ctr"/>
          <c:showLegendKey val="0"/>
          <c:showVal val="1"/>
          <c:showCatName val="0"/>
          <c:showSerName val="0"/>
          <c:showPercent val="0"/>
          <c:showBubbleSize val="0"/>
        </c:dLbls>
        <c:gapWidth val="150"/>
        <c:overlap val="100"/>
        <c:axId val="483817424"/>
        <c:axId val="483819344"/>
      </c:barChart>
      <c:catAx>
        <c:axId val="4838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9344"/>
        <c:crosses val="autoZero"/>
        <c:auto val="1"/>
        <c:lblAlgn val="ctr"/>
        <c:lblOffset val="100"/>
        <c:noMultiLvlLbl val="0"/>
      </c:catAx>
      <c:valAx>
        <c:axId val="48381934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000" b="0" i="0" u="none" strike="noStrike" kern="1200" baseline="0">
                    <a:solidFill>
                      <a:sysClr val="windowText" lastClr="000000">
                        <a:lumMod val="65000"/>
                        <a:lumOff val="35000"/>
                      </a:sysClr>
                    </a:solidFill>
                  </a:rPr>
                  <a:t> Total  Impact (kg CO₂-eq)</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1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FECE0B20-74B5-07C9-A97D-1CF037165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4CDC32B7-2807-E823-54A6-EEAB068C6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7" name="Chart 6">
          <a:extLst>
            <a:ext uri="{FF2B5EF4-FFF2-40B4-BE49-F238E27FC236}">
              <a16:creationId xmlns:a16="http://schemas.microsoft.com/office/drawing/2014/main" id="{2943CC49-954E-AFC8-304C-086756992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787A4638-F910-4FBC-99E9-1D5A06FD2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8429E535-FD3B-4BD5-A1CB-0F1CA4C60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4" name="Chart 3">
          <a:extLst>
            <a:ext uri="{FF2B5EF4-FFF2-40B4-BE49-F238E27FC236}">
              <a16:creationId xmlns:a16="http://schemas.microsoft.com/office/drawing/2014/main" id="{FA048B0E-13D2-483F-8CF6-D6AD707F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227607</xdr:colOff>
      <xdr:row>16</xdr:row>
      <xdr:rowOff>2320</xdr:rowOff>
    </xdr:from>
    <xdr:to>
      <xdr:col>8</xdr:col>
      <xdr:colOff>1836421</xdr:colOff>
      <xdr:row>31</xdr:row>
      <xdr:rowOff>22860</xdr:rowOff>
    </xdr:to>
    <xdr:graphicFrame macro="">
      <xdr:nvGraphicFramePr>
        <xdr:cNvPr id="2" name="Chart 1">
          <a:extLst>
            <a:ext uri="{FF2B5EF4-FFF2-40B4-BE49-F238E27FC236}">
              <a16:creationId xmlns:a16="http://schemas.microsoft.com/office/drawing/2014/main" id="{EE821768-0167-4821-AF59-46361B398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15</xdr:row>
      <xdr:rowOff>179070</xdr:rowOff>
    </xdr:from>
    <xdr:to>
      <xdr:col>13</xdr:col>
      <xdr:colOff>7620</xdr:colOff>
      <xdr:row>35</xdr:row>
      <xdr:rowOff>22860</xdr:rowOff>
    </xdr:to>
    <xdr:graphicFrame macro="">
      <xdr:nvGraphicFramePr>
        <xdr:cNvPr id="3" name="Chart 2">
          <a:extLst>
            <a:ext uri="{FF2B5EF4-FFF2-40B4-BE49-F238E27FC236}">
              <a16:creationId xmlns:a16="http://schemas.microsoft.com/office/drawing/2014/main" id="{512A2C04-0788-4642-B792-8235D4A5E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15</xdr:row>
      <xdr:rowOff>179070</xdr:rowOff>
    </xdr:from>
    <xdr:to>
      <xdr:col>17</xdr:col>
      <xdr:colOff>1577340</xdr:colOff>
      <xdr:row>36</xdr:row>
      <xdr:rowOff>30480</xdr:rowOff>
    </xdr:to>
    <xdr:graphicFrame macro="">
      <xdr:nvGraphicFramePr>
        <xdr:cNvPr id="4" name="Chart 3">
          <a:extLst>
            <a:ext uri="{FF2B5EF4-FFF2-40B4-BE49-F238E27FC236}">
              <a16:creationId xmlns:a16="http://schemas.microsoft.com/office/drawing/2014/main" id="{1C4A12E7-5C2D-4F2E-A53A-E8BE702EC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enna Coward" id="{AB423F1C-12A1-47FE-840C-564035259A38}" userId="S::jlcoward@hhs.nl::d0fe0698-0c6d-4670-af9a-af80f0f4c21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32714D-5C40-4BB1-B704-14383738B734}" name="tblScenario" displayName="tblScenario" ref="A1:J8" totalsRowShown="0">
  <autoFilter ref="A1:J8" xr:uid="{A532714D-5C40-4BB1-B704-14383738B734}"/>
  <tableColumns count="10">
    <tableColumn id="1" xr3:uid="{6853B4E5-C891-4193-BA64-9765D746B462}" name="Component"/>
    <tableColumn id="2" xr3:uid="{819C5BCD-368A-45C3-AAE1-4B28F766A5B0}" name="Initial Life" dataDxfId="8"/>
    <tableColumn id="3" xr3:uid="{94205740-8A08-4AB7-8A73-7CA7C97D881C}" name="Refurb Allowed" dataDxfId="7"/>
    <tableColumn id="4" xr3:uid="{4B49B5F4-B685-4CD2-912E-281C635A04C0}" name="Refurb Life Extension" dataDxfId="6"/>
    <tableColumn id="5" xr3:uid="{50E39E0A-5AE0-4616-9B17-D5F982EB373F}" name="Number of Instances" dataDxfId="5">
      <calculatedColumnFormula>CEILING($L$2 / tblScenario[[#This Row],[Effective Life]], 1)</calculatedColumnFormula>
    </tableColumn>
    <tableColumn id="6" xr3:uid="{2003E5E1-84E9-4B31-A8D1-D2E4D8663EFB}" name="Effective Life" dataDxfId="4">
      <calculatedColumnFormula>tblScenario[[#This Row],[Initial Life]] + IF(tblScenario[[#This Row],[Refurb Allowed]], tblScenario[[#This Row],[Refurb Life Extension]], 0)</calculatedColumnFormula>
    </tableColumn>
    <tableColumn id="7" xr3:uid="{BB14C7EC-DB19-4881-8428-62041A4C072C}" name="Instances Check" dataDxfId="3">
      <calculatedColumnFormula>IF(COUNTIF('Component Info'!A:A, A2)=E2, COUNTIF('Component Info'!A:A, A2), "Mismatch")</calculatedColumnFormula>
    </tableColumn>
    <tableColumn id="8" xr3:uid="{11B56F0F-FF89-4084-8498-ABE7AD7753FF}" name="Manufacturing _x000a_(kgCO2eq) " dataDxfId="2"/>
    <tableColumn id="9" xr3:uid="{4F4B433B-D982-4803-9B93-F97469741324}" name="EOL Disposal _x000a_(kgCO2eq)" dataDxfId="1"/>
    <tableColumn id="10" xr3:uid="{DA7914DE-98F8-402B-B8B7-4AB5318F49C9}" name="Refurbishment _x000a_(kgCO2eq)"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D3ECA0-D91B-4590-8C60-84BB8CD84C1A}" name="tblCycles" displayName="tblCycles" ref="K1:L9" totalsRowShown="0">
  <autoFilter ref="K1:L9" xr:uid="{36D3ECA0-D91B-4590-8C60-84BB8CD84C1A}"/>
  <tableColumns count="2">
    <tableColumn id="1" xr3:uid="{897A87D2-097B-4251-BF90-2A887BD48EFF}" name="Column1"/>
    <tableColumn id="2" xr3:uid="{05F2F127-7860-45B9-A918-7669B65E69E0}" name="Column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3" dT="2025-11-26T10:15:41.52" personId="{AB423F1C-12A1-47FE-840C-564035259A38}" id="{C0F9A2E7-6D7F-485A-B43D-840FEC34D0E3}">
    <text xml:space="preserve">Formula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I33" dT="2025-11-26T12:47:03.06" personId="{AB423F1C-12A1-47FE-840C-564035259A38}" id="{507334F1-C89F-492B-8AF5-391BB2E080F2}">
    <text xml:space="preserve">Change stacked bars to be absolute value to show how each scenario has a different total impact </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5-11-26T14:03:54.96" personId="{AB423F1C-12A1-47FE-840C-564035259A38}" id="{48DED31B-06A2-4617-AB32-672AA561B9D7}">
    <text xml:space="preserve">I need to add in the triangular distribution thinking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0DD9-47AD-4BBD-A174-A83CD1111797}">
  <dimension ref="A1:L34"/>
  <sheetViews>
    <sheetView zoomScale="85" zoomScaleNormal="85" workbookViewId="0">
      <selection activeCell="D15" sqref="D15:D16"/>
    </sheetView>
  </sheetViews>
  <sheetFormatPr defaultRowHeight="14.4" x14ac:dyDescent="0.3"/>
  <cols>
    <col min="1" max="1" width="27.6640625" customWidth="1"/>
    <col min="2" max="3" width="20.6640625" customWidth="1"/>
    <col min="4" max="4" width="23.21875" customWidth="1"/>
    <col min="5" max="9" width="20.6640625" customWidth="1"/>
    <col min="10" max="10" width="18.88671875" customWidth="1"/>
    <col min="11" max="11" width="22.88671875" customWidth="1"/>
    <col min="12" max="12" width="17.5546875" customWidth="1"/>
  </cols>
  <sheetData>
    <row r="1" spans="1:12" ht="28.8" x14ac:dyDescent="0.3">
      <c r="A1" t="s">
        <v>0</v>
      </c>
      <c r="B1" s="1" t="s">
        <v>1</v>
      </c>
      <c r="C1" s="1" t="s">
        <v>2</v>
      </c>
      <c r="D1" s="1" t="s">
        <v>3</v>
      </c>
      <c r="E1" s="63" t="s">
        <v>4</v>
      </c>
      <c r="F1" s="63" t="s">
        <v>5</v>
      </c>
      <c r="G1" s="63" t="s">
        <v>6</v>
      </c>
      <c r="H1" s="11" t="s">
        <v>7</v>
      </c>
      <c r="I1" s="11" t="s">
        <v>8</v>
      </c>
      <c r="J1" s="11" t="s">
        <v>9</v>
      </c>
      <c r="K1" t="s">
        <v>10</v>
      </c>
      <c r="L1" t="s">
        <v>11</v>
      </c>
    </row>
    <row r="2" spans="1:12" x14ac:dyDescent="0.3">
      <c r="A2" t="s">
        <v>110</v>
      </c>
      <c r="B2" s="1">
        <v>10</v>
      </c>
      <c r="C2" s="1" t="b">
        <v>1</v>
      </c>
      <c r="D2" s="1">
        <v>20</v>
      </c>
      <c r="E2" s="1">
        <f>CEILING($L$2 / tblScenario[[#This Row],[Effective Life]], 1)</f>
        <v>1</v>
      </c>
      <c r="F2" s="1">
        <f>tblScenario[[#This Row],[Initial Life]] + IF(tblScenario[[#This Row],[Refurb Allowed]], tblScenario[[#This Row],[Refurb Life Extension]], 0)</f>
        <v>30</v>
      </c>
      <c r="G2" s="12">
        <f>IF(COUNTIF('Component Info'!A:A, A2)=E2, COUNTIF('Component Info'!A:A, A2), "Mismatch")</f>
        <v>1</v>
      </c>
      <c r="H2" s="1">
        <v>10</v>
      </c>
      <c r="I2" s="1">
        <v>2</v>
      </c>
      <c r="J2" s="1">
        <v>5</v>
      </c>
      <c r="K2" t="s">
        <v>12</v>
      </c>
      <c r="L2">
        <f>SUM(L6:L8)</f>
        <v>30</v>
      </c>
    </row>
    <row r="3" spans="1:12" x14ac:dyDescent="0.3">
      <c r="A3" t="s">
        <v>111</v>
      </c>
      <c r="B3" s="1">
        <v>10</v>
      </c>
      <c r="C3" s="1" t="b">
        <v>1</v>
      </c>
      <c r="D3" s="1">
        <v>20</v>
      </c>
      <c r="E3" s="1">
        <f>CEILING($L$2 / tblScenario[[#This Row],[Effective Life]], 1)</f>
        <v>1</v>
      </c>
      <c r="F3" s="1">
        <f>tblScenario[[#This Row],[Initial Life]] + IF(tblScenario[[#This Row],[Refurb Allowed]], tblScenario[[#This Row],[Refurb Life Extension]], 0)</f>
        <v>30</v>
      </c>
      <c r="G3" s="12">
        <f>IF(COUNTIF('Component Info'!A:A, A3)=E3, COUNTIF('Component Info'!A:A, A3), "Mismatch")</f>
        <v>1</v>
      </c>
      <c r="H3" s="1">
        <v>10</v>
      </c>
      <c r="I3" s="1">
        <v>2</v>
      </c>
      <c r="J3" s="1">
        <v>5</v>
      </c>
      <c r="K3" t="s">
        <v>13</v>
      </c>
      <c r="L3">
        <f>L6</f>
        <v>10</v>
      </c>
    </row>
    <row r="4" spans="1:12" x14ac:dyDescent="0.3">
      <c r="A4" t="s">
        <v>112</v>
      </c>
      <c r="B4" s="1">
        <v>10</v>
      </c>
      <c r="C4" s="1" t="b">
        <v>1</v>
      </c>
      <c r="D4" s="1">
        <v>20</v>
      </c>
      <c r="E4" s="1">
        <f>CEILING($L$2 / tblScenario[[#This Row],[Effective Life]], 1)</f>
        <v>1</v>
      </c>
      <c r="F4" s="1">
        <f>tblScenario[[#This Row],[Initial Life]] + IF(tblScenario[[#This Row],[Refurb Allowed]], tblScenario[[#This Row],[Refurb Life Extension]], 0)</f>
        <v>30</v>
      </c>
      <c r="G4" s="12">
        <f>IF(COUNTIF('Component Info'!A:A, A4)=E4, COUNTIF('Component Info'!A:A, A4), "Mismatch")</f>
        <v>1</v>
      </c>
      <c r="H4" s="1">
        <v>10</v>
      </c>
      <c r="I4" s="1">
        <v>2</v>
      </c>
      <c r="J4" s="1">
        <v>5</v>
      </c>
      <c r="K4" t="s">
        <v>14</v>
      </c>
      <c r="L4">
        <f>SUM(L6:L7)</f>
        <v>20</v>
      </c>
    </row>
    <row r="5" spans="1:12" x14ac:dyDescent="0.3">
      <c r="A5" t="s">
        <v>113</v>
      </c>
      <c r="B5" s="1">
        <v>10</v>
      </c>
      <c r="C5" s="1" t="b">
        <v>1</v>
      </c>
      <c r="D5" s="1">
        <v>20</v>
      </c>
      <c r="E5" s="1">
        <f>CEILING($L$2 / tblScenario[[#This Row],[Effective Life]], 1)</f>
        <v>1</v>
      </c>
      <c r="F5" s="1">
        <f>tblScenario[[#This Row],[Initial Life]] + IF(tblScenario[[#This Row],[Refurb Allowed]], tblScenario[[#This Row],[Refurb Life Extension]], 0)</f>
        <v>30</v>
      </c>
      <c r="G5" s="12">
        <f>IF(COUNTIF('Component Info'!A:A, A5)=E5, COUNTIF('Component Info'!A:A, A5), "Mismatch")</f>
        <v>1</v>
      </c>
      <c r="H5" s="1">
        <v>10</v>
      </c>
      <c r="I5" s="1">
        <v>2</v>
      </c>
      <c r="J5" s="1">
        <v>5</v>
      </c>
      <c r="K5" s="94" t="s">
        <v>15</v>
      </c>
      <c r="L5" s="94">
        <f>SUM(L6:L8)</f>
        <v>30</v>
      </c>
    </row>
    <row r="6" spans="1:12" x14ac:dyDescent="0.3">
      <c r="A6" t="s">
        <v>114</v>
      </c>
      <c r="B6" s="1">
        <v>10</v>
      </c>
      <c r="C6" s="1" t="b">
        <v>1</v>
      </c>
      <c r="D6" s="1">
        <v>20</v>
      </c>
      <c r="E6" s="1">
        <f>CEILING($L$2 / tblScenario[[#This Row],[Effective Life]], 1)</f>
        <v>1</v>
      </c>
      <c r="F6" s="1">
        <f>tblScenario[[#This Row],[Initial Life]] + IF(tblScenario[[#This Row],[Refurb Allowed]], tblScenario[[#This Row],[Refurb Life Extension]], 0)</f>
        <v>30</v>
      </c>
      <c r="G6" s="12">
        <f>IF(COUNTIF('Component Info'!A:A, A6)=E6, COUNTIF('Component Info'!A:A, A6), "Mismatch")</f>
        <v>1</v>
      </c>
      <c r="H6" s="1">
        <v>10</v>
      </c>
      <c r="I6" s="1">
        <v>2</v>
      </c>
      <c r="J6" s="1">
        <v>5</v>
      </c>
      <c r="K6" t="s">
        <v>107</v>
      </c>
      <c r="L6">
        <v>10</v>
      </c>
    </row>
    <row r="7" spans="1:12" x14ac:dyDescent="0.3">
      <c r="A7" t="s">
        <v>115</v>
      </c>
      <c r="B7" s="1">
        <v>10</v>
      </c>
      <c r="C7" s="1" t="b">
        <v>1</v>
      </c>
      <c r="D7" s="1">
        <v>20</v>
      </c>
      <c r="E7" s="1">
        <f>CEILING($L$2 / tblScenario[[#This Row],[Effective Life]], 1)</f>
        <v>1</v>
      </c>
      <c r="F7" s="1">
        <f>tblScenario[[#This Row],[Initial Life]] + IF(tblScenario[[#This Row],[Refurb Allowed]], tblScenario[[#This Row],[Refurb Life Extension]], 0)</f>
        <v>30</v>
      </c>
      <c r="G7" s="12">
        <f>IF(COUNTIF('Component Info'!A:A, A7)=E7, COUNTIF('Component Info'!A:A, A7), "Mismatch")</f>
        <v>1</v>
      </c>
      <c r="H7" s="1">
        <v>10</v>
      </c>
      <c r="I7" s="1">
        <v>2</v>
      </c>
      <c r="J7" s="1">
        <v>5</v>
      </c>
      <c r="K7" t="s">
        <v>108</v>
      </c>
      <c r="L7">
        <v>10</v>
      </c>
    </row>
    <row r="8" spans="1:12" x14ac:dyDescent="0.3">
      <c r="A8" t="s">
        <v>116</v>
      </c>
      <c r="B8" s="1">
        <v>10</v>
      </c>
      <c r="C8" s="1" t="b">
        <v>1</v>
      </c>
      <c r="D8" s="1">
        <v>20</v>
      </c>
      <c r="E8" s="1">
        <f>CEILING($L$2 / tblScenario[[#This Row],[Effective Life]], 1)</f>
        <v>1</v>
      </c>
      <c r="F8" s="1">
        <f>tblScenario[[#This Row],[Initial Life]] + IF(tblScenario[[#This Row],[Refurb Allowed]], tblScenario[[#This Row],[Refurb Life Extension]], 0)</f>
        <v>30</v>
      </c>
      <c r="G8" s="12">
        <f>IF(COUNTIF('Component Info'!A:A, A8)=E8, COUNTIF('Component Info'!A:A, A8), "Mismatch")</f>
        <v>1</v>
      </c>
      <c r="H8" s="1">
        <v>10</v>
      </c>
      <c r="I8" s="1">
        <v>2</v>
      </c>
      <c r="J8" s="1">
        <v>5</v>
      </c>
      <c r="K8" t="s">
        <v>109</v>
      </c>
      <c r="L8">
        <v>10</v>
      </c>
    </row>
    <row r="9" spans="1:12" x14ac:dyDescent="0.3">
      <c r="B9" s="1"/>
      <c r="C9" s="1"/>
      <c r="D9" s="1"/>
      <c r="E9" s="1"/>
      <c r="F9" s="1"/>
      <c r="G9" s="12"/>
      <c r="H9" s="1"/>
      <c r="I9" s="1"/>
      <c r="J9" s="1"/>
      <c r="K9" t="s">
        <v>16</v>
      </c>
      <c r="L9">
        <v>3</v>
      </c>
    </row>
    <row r="10" spans="1:12" x14ac:dyDescent="0.3">
      <c r="B10" s="1"/>
      <c r="C10" s="1"/>
      <c r="D10" s="1"/>
      <c r="E10" s="1"/>
      <c r="F10" s="1"/>
      <c r="G10" s="12"/>
      <c r="H10" s="1"/>
      <c r="I10" s="1"/>
      <c r="J10" s="1"/>
    </row>
    <row r="11" spans="1:12" x14ac:dyDescent="0.3">
      <c r="B11" s="1"/>
      <c r="C11" s="1"/>
      <c r="D11" s="1"/>
      <c r="E11" s="1"/>
      <c r="F11" s="1"/>
      <c r="G11" s="12"/>
      <c r="H11" s="1"/>
      <c r="I11" s="1"/>
      <c r="J11" s="1"/>
    </row>
    <row r="12" spans="1:12" x14ac:dyDescent="0.3">
      <c r="B12" s="1"/>
      <c r="C12" s="1"/>
      <c r="D12" s="1"/>
      <c r="E12" s="1"/>
      <c r="F12" s="1"/>
      <c r="G12" s="12"/>
      <c r="H12" s="1"/>
      <c r="I12" s="1"/>
      <c r="J12" s="1"/>
    </row>
    <row r="13" spans="1:12" x14ac:dyDescent="0.3">
      <c r="B13" s="1"/>
      <c r="C13" s="1"/>
      <c r="D13" s="1"/>
      <c r="E13" s="1"/>
      <c r="F13" s="1"/>
      <c r="G13" s="12"/>
      <c r="H13" s="1"/>
      <c r="I13" s="1"/>
      <c r="J13" s="1"/>
    </row>
    <row r="14" spans="1:12" x14ac:dyDescent="0.3">
      <c r="B14" s="1"/>
      <c r="C14" s="1"/>
      <c r="D14" s="1"/>
      <c r="E14" s="1"/>
      <c r="F14" s="1"/>
      <c r="G14" s="12"/>
      <c r="H14" s="1"/>
      <c r="I14" s="1"/>
      <c r="J14" s="1"/>
    </row>
    <row r="15" spans="1:12" x14ac:dyDescent="0.3">
      <c r="B15" s="1"/>
      <c r="C15" s="1"/>
      <c r="D15" s="1"/>
      <c r="E15" s="1"/>
      <c r="F15" s="1"/>
      <c r="G15" s="12"/>
      <c r="H15" s="1"/>
      <c r="I15" s="1"/>
      <c r="J15" s="1"/>
    </row>
    <row r="16" spans="1:12" x14ac:dyDescent="0.3">
      <c r="B16" s="1"/>
      <c r="C16" s="1"/>
      <c r="D16" s="1"/>
      <c r="E16" s="1"/>
      <c r="F16" s="1"/>
      <c r="G16" s="12"/>
      <c r="H16" s="1"/>
      <c r="I16" s="1"/>
      <c r="J16" s="1"/>
    </row>
    <row r="17" spans="2:10" x14ac:dyDescent="0.3">
      <c r="B17" s="1"/>
      <c r="C17" s="1"/>
      <c r="D17" s="1"/>
      <c r="E17" s="1"/>
      <c r="F17" s="1"/>
      <c r="G17" s="1"/>
      <c r="H17" s="1"/>
      <c r="I17" s="1"/>
      <c r="J17" s="1"/>
    </row>
    <row r="18" spans="2:10" x14ac:dyDescent="0.3">
      <c r="B18" s="1"/>
      <c r="C18" s="1"/>
      <c r="D18" s="1"/>
      <c r="E18" s="1"/>
      <c r="F18" s="1"/>
      <c r="G18" s="1"/>
      <c r="H18" s="1"/>
      <c r="I18" s="1"/>
      <c r="J18" s="1"/>
    </row>
    <row r="19" spans="2:10" x14ac:dyDescent="0.3">
      <c r="B19" s="1"/>
      <c r="C19" s="1"/>
      <c r="D19" s="1"/>
      <c r="E19" s="1"/>
      <c r="F19" s="1"/>
      <c r="G19" s="1"/>
      <c r="H19" s="1"/>
      <c r="I19" s="1"/>
      <c r="J19" s="1"/>
    </row>
    <row r="20" spans="2:10" x14ac:dyDescent="0.3">
      <c r="B20" s="1"/>
      <c r="C20" s="1"/>
      <c r="D20" s="1"/>
      <c r="E20" s="1"/>
      <c r="F20" s="1"/>
      <c r="G20" s="1"/>
      <c r="H20" s="1"/>
      <c r="I20" s="1"/>
      <c r="J20" s="1"/>
    </row>
    <row r="21" spans="2:10" x14ac:dyDescent="0.3">
      <c r="B21" s="1"/>
      <c r="C21" s="1"/>
      <c r="D21" s="1"/>
      <c r="E21" s="1"/>
      <c r="F21" s="1"/>
      <c r="G21" s="1"/>
      <c r="H21" s="1"/>
      <c r="I21" s="1"/>
      <c r="J21" s="1"/>
    </row>
    <row r="22" spans="2:10" x14ac:dyDescent="0.3">
      <c r="B22" s="1"/>
      <c r="C22" s="1"/>
      <c r="D22" s="1"/>
      <c r="E22" s="1"/>
      <c r="F22" s="1"/>
      <c r="G22" s="1"/>
      <c r="H22" s="1"/>
      <c r="I22" s="1"/>
      <c r="J22" s="1"/>
    </row>
    <row r="23" spans="2:10" x14ac:dyDescent="0.3">
      <c r="B23" s="1"/>
      <c r="C23" s="1"/>
      <c r="D23" s="1"/>
      <c r="E23" s="1"/>
      <c r="F23" s="1"/>
      <c r="G23" s="1"/>
      <c r="H23" s="1"/>
      <c r="I23" s="1"/>
      <c r="J23" s="1"/>
    </row>
    <row r="24" spans="2:10" x14ac:dyDescent="0.3">
      <c r="B24" s="1"/>
      <c r="C24" s="1"/>
      <c r="D24" s="1"/>
      <c r="E24" s="1"/>
      <c r="F24" s="1"/>
      <c r="G24" s="1"/>
      <c r="H24" s="1"/>
      <c r="I24" s="1"/>
      <c r="J24" s="1"/>
    </row>
    <row r="25" spans="2:10" x14ac:dyDescent="0.3">
      <c r="B25" s="1"/>
      <c r="C25" s="1"/>
      <c r="D25" s="1"/>
      <c r="E25" s="1"/>
      <c r="F25" s="1"/>
      <c r="G25" s="1"/>
      <c r="H25" s="1"/>
      <c r="I25" s="1"/>
      <c r="J25" s="1"/>
    </row>
    <row r="26" spans="2:10" x14ac:dyDescent="0.3">
      <c r="B26" s="1"/>
      <c r="C26" s="1"/>
      <c r="D26" s="1"/>
      <c r="E26" s="1"/>
      <c r="F26" s="1"/>
      <c r="G26" s="1"/>
      <c r="H26" s="1"/>
      <c r="I26" s="1"/>
      <c r="J26" s="1"/>
    </row>
    <row r="27" spans="2:10" x14ac:dyDescent="0.3">
      <c r="B27" s="1"/>
      <c r="C27" s="1"/>
      <c r="D27" s="1"/>
      <c r="E27" s="1"/>
      <c r="F27" s="1"/>
      <c r="G27" s="1"/>
      <c r="H27" s="1"/>
      <c r="I27" s="1"/>
      <c r="J27" s="1"/>
    </row>
    <row r="28" spans="2:10" x14ac:dyDescent="0.3">
      <c r="B28" s="1"/>
      <c r="C28" s="1"/>
      <c r="D28" s="1"/>
      <c r="E28" s="1"/>
      <c r="F28" s="1"/>
      <c r="G28" s="1"/>
      <c r="H28" s="1"/>
      <c r="I28" s="1"/>
      <c r="J28" s="1"/>
    </row>
    <row r="29" spans="2:10" x14ac:dyDescent="0.3">
      <c r="B29" s="1"/>
      <c r="C29" s="1"/>
      <c r="D29" s="1"/>
      <c r="E29" s="1"/>
      <c r="F29" s="1"/>
      <c r="G29" s="1"/>
      <c r="H29" s="1"/>
      <c r="I29" s="1"/>
      <c r="J29" s="1"/>
    </row>
    <row r="30" spans="2:10" x14ac:dyDescent="0.3">
      <c r="B30" s="1"/>
      <c r="C30" s="1"/>
      <c r="D30" s="1"/>
      <c r="E30" s="1"/>
      <c r="F30" s="1"/>
      <c r="G30" s="1"/>
      <c r="H30" s="1"/>
      <c r="I30" s="1"/>
      <c r="J30" s="1"/>
    </row>
    <row r="31" spans="2:10" x14ac:dyDescent="0.3">
      <c r="B31" s="1"/>
      <c r="C31" s="1"/>
      <c r="D31" s="1"/>
      <c r="E31" s="1"/>
      <c r="F31" s="1"/>
      <c r="G31" s="1"/>
      <c r="H31" s="1"/>
      <c r="I31" s="1"/>
      <c r="J31" s="1"/>
    </row>
    <row r="32" spans="2:10" x14ac:dyDescent="0.3">
      <c r="B32" s="1"/>
      <c r="C32" s="1"/>
      <c r="D32" s="1"/>
      <c r="E32" s="1"/>
      <c r="F32" s="1"/>
      <c r="G32" s="1"/>
      <c r="H32" s="1"/>
      <c r="I32" s="1"/>
      <c r="J32" s="1"/>
    </row>
    <row r="33" spans="2:10" x14ac:dyDescent="0.3">
      <c r="B33" s="1"/>
      <c r="C33" s="1"/>
      <c r="D33" s="1"/>
      <c r="E33" s="1"/>
      <c r="F33" s="1"/>
      <c r="G33" s="1"/>
      <c r="H33" s="1"/>
      <c r="I33" s="1"/>
      <c r="J33" s="1"/>
    </row>
    <row r="34" spans="2:10" x14ac:dyDescent="0.3">
      <c r="B34" s="1"/>
      <c r="C34" s="1"/>
      <c r="D34" s="1"/>
      <c r="E34" s="1"/>
      <c r="F34" s="1"/>
      <c r="G34" s="1"/>
      <c r="H34" s="1"/>
      <c r="I34" s="1"/>
      <c r="J34" s="1"/>
    </row>
  </sheetData>
  <phoneticPr fontId="3" type="noConversion"/>
  <conditionalFormatting sqref="G1:G1048576">
    <cfRule type="containsText" dxfId="9" priority="1" operator="containsText" text="Mismatch">
      <formula>NOT(ISERROR(SEARCH("Mismatch",G1)))</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97190-AA54-4E59-A9ED-88616A74DC54}">
  <dimension ref="A1:BH602"/>
  <sheetViews>
    <sheetView zoomScale="70" zoomScaleNormal="70" workbookViewId="0">
      <pane xSplit="1" topLeftCell="B1" activePane="topRight" state="frozen"/>
      <selection pane="topRight" activeCell="K30" sqref="K30"/>
    </sheetView>
  </sheetViews>
  <sheetFormatPr defaultRowHeight="14.4" x14ac:dyDescent="0.3"/>
  <cols>
    <col min="1" max="1" width="25.6640625" customWidth="1"/>
    <col min="2" max="2" width="10.88671875" customWidth="1"/>
    <col min="5" max="5" width="10.33203125" customWidth="1"/>
    <col min="6" max="6" width="14.6640625" customWidth="1"/>
    <col min="10" max="10" width="23.33203125" customWidth="1"/>
    <col min="11" max="11" width="22.88671875" customWidth="1"/>
    <col min="12" max="12" width="23.5546875" customWidth="1"/>
    <col min="13" max="13" width="20" customWidth="1"/>
    <col min="20" max="20" width="8.88671875" hidden="1" customWidth="1"/>
    <col min="21" max="22" width="14.6640625" customWidth="1"/>
    <col min="23" max="23" width="14.88671875" customWidth="1"/>
    <col min="24" max="24" width="14.6640625" hidden="1" customWidth="1"/>
    <col min="25" max="27" width="14.6640625" customWidth="1"/>
    <col min="28" max="28" width="14.6640625" hidden="1" customWidth="1"/>
    <col min="29" max="31" width="14.6640625" customWidth="1"/>
    <col min="32" max="32" width="18.33203125" customWidth="1"/>
    <col min="33" max="33" width="14" customWidth="1"/>
    <col min="34" max="34" width="20.33203125" customWidth="1"/>
    <col min="35" max="35" width="21" customWidth="1"/>
    <col min="36" max="38" width="14.6640625" customWidth="1"/>
    <col min="39" max="39" width="0" hidden="1" customWidth="1"/>
    <col min="40" max="42" width="14.6640625" customWidth="1"/>
    <col min="43" max="43" width="14.6640625" hidden="1" customWidth="1"/>
    <col min="44" max="44" width="0" hidden="1" customWidth="1"/>
    <col min="45" max="47" width="14.6640625" customWidth="1"/>
    <col min="49" max="51" width="14.6640625" customWidth="1"/>
    <col min="52" max="52" width="0" hidden="1" customWidth="1"/>
    <col min="53" max="55" width="14.6640625" customWidth="1"/>
    <col min="56" max="57" width="0" hidden="1" customWidth="1"/>
    <col min="58" max="60" width="14.6640625" customWidth="1"/>
  </cols>
  <sheetData>
    <row r="1" spans="1:60" ht="30.6" customHeight="1" x14ac:dyDescent="0.3">
      <c r="A1" s="65"/>
      <c r="B1" s="65"/>
      <c r="C1" s="65"/>
      <c r="D1" s="65"/>
      <c r="E1" s="65"/>
      <c r="F1" s="65"/>
      <c r="G1" s="65"/>
      <c r="H1" s="65"/>
      <c r="I1" s="65"/>
      <c r="J1" s="65"/>
      <c r="K1" s="65"/>
      <c r="L1" s="65"/>
      <c r="M1" s="65"/>
      <c r="O1" s="67" t="s">
        <v>17</v>
      </c>
      <c r="P1" s="67"/>
      <c r="Q1" s="67"/>
      <c r="R1" s="67"/>
      <c r="S1" s="67"/>
      <c r="T1" s="56"/>
      <c r="U1" s="64" t="s">
        <v>18</v>
      </c>
      <c r="V1" s="64"/>
      <c r="W1" s="64"/>
      <c r="X1" s="64"/>
      <c r="Y1" s="64"/>
      <c r="Z1" s="64"/>
      <c r="AA1" s="64"/>
      <c r="AB1" s="64"/>
      <c r="AC1" s="64"/>
      <c r="AD1" s="64"/>
      <c r="AE1" s="64"/>
      <c r="AG1" s="66" t="s">
        <v>19</v>
      </c>
      <c r="AH1" s="66"/>
      <c r="AI1" s="66"/>
      <c r="AJ1" s="64" t="s">
        <v>20</v>
      </c>
      <c r="AK1" s="64"/>
      <c r="AL1" s="64"/>
      <c r="AM1" s="64"/>
      <c r="AN1" s="64"/>
      <c r="AO1" s="64"/>
      <c r="AP1" s="64"/>
      <c r="AQ1" s="64"/>
      <c r="AR1" s="64"/>
      <c r="AS1" s="64"/>
      <c r="AT1" s="64"/>
      <c r="AU1" s="64"/>
      <c r="AW1" s="64" t="s">
        <v>21</v>
      </c>
      <c r="AX1" s="64"/>
      <c r="AY1" s="64"/>
      <c r="AZ1" s="64"/>
      <c r="BA1" s="64"/>
      <c r="BB1" s="64"/>
      <c r="BC1" s="64"/>
      <c r="BD1" s="64"/>
      <c r="BE1" s="64"/>
      <c r="BF1" s="64"/>
      <c r="BG1" s="64"/>
      <c r="BH1" s="64"/>
    </row>
    <row r="2" spans="1:60" ht="28.8" x14ac:dyDescent="0.3">
      <c r="A2" s="52" t="s">
        <v>0</v>
      </c>
      <c r="B2" s="53" t="s">
        <v>22</v>
      </c>
      <c r="C2" s="53" t="s">
        <v>23</v>
      </c>
      <c r="D2" s="54" t="s">
        <v>24</v>
      </c>
      <c r="E2" s="53" t="s">
        <v>25</v>
      </c>
      <c r="F2" s="53" t="s">
        <v>26</v>
      </c>
      <c r="G2" s="53" t="s">
        <v>27</v>
      </c>
      <c r="H2" s="53" t="s">
        <v>28</v>
      </c>
      <c r="I2" s="53" t="s">
        <v>29</v>
      </c>
      <c r="J2" s="53" t="s">
        <v>30</v>
      </c>
      <c r="K2" s="53" t="s">
        <v>31</v>
      </c>
      <c r="L2" s="53" t="s">
        <v>32</v>
      </c>
      <c r="M2" s="53" t="s">
        <v>33</v>
      </c>
      <c r="N2" s="55" t="s">
        <v>34</v>
      </c>
      <c r="O2" s="55" t="s">
        <v>35</v>
      </c>
      <c r="P2" s="55" t="s">
        <v>36</v>
      </c>
      <c r="Q2" s="55" t="s">
        <v>37</v>
      </c>
      <c r="R2" s="55" t="s">
        <v>38</v>
      </c>
      <c r="S2" s="55" t="s">
        <v>39</v>
      </c>
      <c r="T2" s="2" t="s">
        <v>40</v>
      </c>
      <c r="U2" s="58" t="s">
        <v>41</v>
      </c>
      <c r="V2" s="58" t="s">
        <v>42</v>
      </c>
      <c r="W2" s="58" t="s">
        <v>43</v>
      </c>
      <c r="X2" s="2" t="s">
        <v>44</v>
      </c>
      <c r="Y2" s="49" t="s">
        <v>45</v>
      </c>
      <c r="Z2" s="49" t="s">
        <v>46</v>
      </c>
      <c r="AA2" s="49" t="s">
        <v>47</v>
      </c>
      <c r="AB2" s="59" t="s">
        <v>48</v>
      </c>
      <c r="AC2" s="50" t="s">
        <v>49</v>
      </c>
      <c r="AD2" s="50" t="s">
        <v>50</v>
      </c>
      <c r="AE2" s="51" t="s">
        <v>51</v>
      </c>
      <c r="AG2" s="57" t="s">
        <v>52</v>
      </c>
      <c r="AH2" s="57" t="s">
        <v>53</v>
      </c>
      <c r="AI2" s="57" t="s">
        <v>54</v>
      </c>
      <c r="AJ2" s="58" t="s">
        <v>41</v>
      </c>
      <c r="AK2" s="58" t="s">
        <v>42</v>
      </c>
      <c r="AL2" s="58" t="s">
        <v>43</v>
      </c>
      <c r="AM2" s="2" t="s">
        <v>44</v>
      </c>
      <c r="AN2" s="49" t="s">
        <v>45</v>
      </c>
      <c r="AO2" s="49" t="s">
        <v>46</v>
      </c>
      <c r="AP2" s="49" t="s">
        <v>47</v>
      </c>
      <c r="AQ2" s="59" t="s">
        <v>48</v>
      </c>
      <c r="AR2" s="2" t="s">
        <v>55</v>
      </c>
      <c r="AS2" s="50" t="s">
        <v>49</v>
      </c>
      <c r="AT2" s="50" t="s">
        <v>50</v>
      </c>
      <c r="AU2" s="51" t="s">
        <v>51</v>
      </c>
      <c r="AW2" s="58" t="s">
        <v>41</v>
      </c>
      <c r="AX2" s="58" t="s">
        <v>42</v>
      </c>
      <c r="AY2" s="58" t="s">
        <v>43</v>
      </c>
      <c r="AZ2" s="2" t="s">
        <v>44</v>
      </c>
      <c r="BA2" s="49" t="s">
        <v>45</v>
      </c>
      <c r="BB2" s="49" t="s">
        <v>46</v>
      </c>
      <c r="BC2" s="49" t="s">
        <v>47</v>
      </c>
      <c r="BD2" s="59" t="s">
        <v>48</v>
      </c>
      <c r="BE2" s="2" t="s">
        <v>55</v>
      </c>
      <c r="BF2" s="50" t="s">
        <v>49</v>
      </c>
      <c r="BG2" s="50" t="s">
        <v>50</v>
      </c>
      <c r="BH2" s="51" t="s">
        <v>51</v>
      </c>
    </row>
    <row r="3" spans="1:60" x14ac:dyDescent="0.3">
      <c r="A3" t="str" cm="1">
        <f t="array" ref="A3:A9">_xlfn._xlws.FILTER(
    TRANSPOSE(
        _xlfn.TEXTSPLIT(
            _xlfn.TEXTJOIN("|", TRUE, IF(tblScenario[Number of Instances]&gt;0, REPT(tblScenario[Component] &amp; "|", tblScenario[Number of Instances]), "")),
            "|"
        )
    ),
    TRANSPOSE(
        _xlfn.TEXTSPLIT(
            _xlfn.TEXTJOIN("|", TRUE, IF(tblScenario[Number of Instances]&gt;0, REPT(tblScenario[Component] &amp; "|", tblScenario[Number of Instances]), "")),
            "|"
        )
    )&lt;&gt;""
)</f>
        <v>Part A</v>
      </c>
      <c r="B3">
        <f>IF(A3="", "", COUNTIF($A$3:A3, A3))</f>
        <v>1</v>
      </c>
      <c r="C3">
        <f>IF(B3=1, 0, D2)</f>
        <v>0</v>
      </c>
      <c r="D3">
        <f>C3 + _xlfn.XLOOKUP(A3, tblScenario[Component], tblScenario[Effective Life])</f>
        <v>30</v>
      </c>
      <c r="E3">
        <f t="shared" ref="E3:E37" si="0">MIN(D3, TotalLife)</f>
        <v>30</v>
      </c>
      <c r="F3">
        <f>E3 - C3</f>
        <v>30</v>
      </c>
      <c r="G3">
        <f t="shared" ref="G3:G31" si="1">MAX(0, MIN(E3, Cycle1End) - MAX(C3, 0))</f>
        <v>10</v>
      </c>
      <c r="H3">
        <f t="shared" ref="H3:H31" si="2">MAX(0, MIN(E3, Cycle2End) - MAX(C3, Cycle1End))</f>
        <v>10</v>
      </c>
      <c r="I3">
        <f t="shared" ref="I3:I31" si="3">MAX(0, MIN(E3, Cycle3End) - MAX(C3, Cycle2End))</f>
        <v>10</v>
      </c>
      <c r="J3">
        <f>_xlfn.XLOOKUP(A3, tblScenario[Component], tblScenario[Manufacturing 
(kgCO2eq) ])</f>
        <v>10</v>
      </c>
      <c r="K3">
        <f>_xlfn.XLOOKUP(A3, tblScenario[Component], tblScenario[EOL Disposal 
(kgCO2eq)])</f>
        <v>2</v>
      </c>
      <c r="L3">
        <f>_xlfn.XLOOKUP(A3, tblScenario[Component], tblScenario[Refurbishment 
(kgCO2eq)],"")</f>
        <v>5</v>
      </c>
      <c r="M3" s="1">
        <f>IF(G3&gt;0,H3&gt;0,0) + IF(H3&gt;0,I3&gt;0,0)</f>
        <v>2</v>
      </c>
      <c r="N3" s="3">
        <f>2/$F3</f>
        <v>6.6666666666666666E-2</v>
      </c>
      <c r="O3" s="3">
        <f>((H3+I3)/F3)*N3</f>
        <v>4.4444444444444439E-2</v>
      </c>
      <c r="P3" s="3">
        <f>I3/F3*N3</f>
        <v>2.222222222222222E-2</v>
      </c>
      <c r="Q3" s="3">
        <f t="shared" ref="Q3:R18" si="4">0.5*(N3+O3)*G3</f>
        <v>0.55555555555555558</v>
      </c>
      <c r="R3" s="3">
        <f t="shared" si="4"/>
        <v>0.33333333333333326</v>
      </c>
      <c r="S3" s="3">
        <f t="shared" ref="S3:S28" si="5">0.5*(P3)*I3</f>
        <v>0.1111111111111111</v>
      </c>
      <c r="T3" s="3">
        <f>SUM(Q3:S3)</f>
        <v>1</v>
      </c>
      <c r="U3" s="4">
        <f>$Q3*$J3</f>
        <v>5.5555555555555554</v>
      </c>
      <c r="V3" s="4">
        <f t="shared" ref="V3:V61" si="6">$R3*$J3</f>
        <v>3.3333333333333326</v>
      </c>
      <c r="W3" s="4">
        <f t="shared" ref="W3:W61" si="7">$S3*$J3</f>
        <v>1.1111111111111112</v>
      </c>
      <c r="X3" s="3">
        <f>SUM(U3:W3)</f>
        <v>9.9999999999999982</v>
      </c>
      <c r="Y3" s="60">
        <f>IF(Q3=1,K3,IF(Q3=0,0,IF(R3=0,0,IF(S3=0,R3*K3,S3*K3))))</f>
        <v>0.22222222222222221</v>
      </c>
      <c r="Z3" s="60">
        <f>IF(R3=1,K3,IF(R3=0,0,IF(Q3=0,S3*K3,IF(S3=0,Q3*K3,R3*K3))))</f>
        <v>0.66666666666666652</v>
      </c>
      <c r="AA3" s="5">
        <f>IF(S3=0, 0, IF(R3=0, S3*K3, IF(Q3=0, R3*K3, Q3*K3)))</f>
        <v>1.1111111111111112</v>
      </c>
      <c r="AB3" s="6">
        <f t="shared" ref="AB3:AB28" si="8">SUM(Y3:AA3)</f>
        <v>2</v>
      </c>
      <c r="AC3" s="7">
        <f>IF(G3&gt;0, L3*M3 / COUNTIF(G3:I3, "&gt;0"), 0)</f>
        <v>3.3333333333333335</v>
      </c>
      <c r="AD3" s="7">
        <f t="shared" ref="AD3:AD28" si="9">IF(H3&gt;0, L3*M3 / COUNTIF(G3:I3, "&gt;0"), 0)</f>
        <v>3.3333333333333335</v>
      </c>
      <c r="AE3" s="8">
        <f t="shared" ref="AE3:AE28" si="10">IF(I3&gt;0, L3*M3 / COUNTIF(G3:I3, "&gt;0"), 0)</f>
        <v>3.3333333333333335</v>
      </c>
      <c r="AG3">
        <f>COUNTIF(G3:I3,"&gt;0")</f>
        <v>3</v>
      </c>
      <c r="AH3">
        <f>IF(AND(G3&gt;0,H3&gt;0),1,0)</f>
        <v>1</v>
      </c>
      <c r="AI3">
        <f>IF(AND(H3&gt;0,I3&gt;0),1,0)</f>
        <v>1</v>
      </c>
      <c r="AJ3">
        <f>IF(G3&gt;0,J3,0)</f>
        <v>10</v>
      </c>
      <c r="AK3">
        <f>IF(AND(G3=0,H3&gt;0),J3,0)</f>
        <v>0</v>
      </c>
      <c r="AL3">
        <f>IF(AND(G3=0,H3=0,I3&gt;0),J3,0)</f>
        <v>0</v>
      </c>
      <c r="AN3">
        <f>IF(AND(G3&gt;0,H3=0,I3=0),K3,0)</f>
        <v>0</v>
      </c>
      <c r="AO3">
        <f>IF(AND(H3&gt;0,I3=0),K3,0)</f>
        <v>0</v>
      </c>
      <c r="AP3">
        <f t="shared" ref="AP3:AP8" si="11">IF(I3&gt;0,K3,0)</f>
        <v>2</v>
      </c>
      <c r="AQ3">
        <f>SUM(AN3:AP3)</f>
        <v>2</v>
      </c>
      <c r="AS3">
        <f>0</f>
        <v>0</v>
      </c>
      <c r="AT3">
        <f>IF(AH3=1,L3,0)</f>
        <v>5</v>
      </c>
      <c r="AU3">
        <f>IF(AI3=1,L3,0)</f>
        <v>5</v>
      </c>
      <c r="AW3">
        <f>IF(AND(G3&gt;0,AG3&gt;0), J3/AG3, 0)</f>
        <v>3.3333333333333335</v>
      </c>
      <c r="AX3">
        <f>IF(AND(H3&gt;0,AG3&gt;0), J3/AG3, 0)</f>
        <v>3.3333333333333335</v>
      </c>
      <c r="AY3">
        <f>IF(AND(I3&gt;0,AG3&gt;0), J3/AG3, 0)</f>
        <v>3.3333333333333335</v>
      </c>
      <c r="BA3">
        <f>IF(AND(G3&gt;0,AG3&gt;0), K3/AG3, 0)</f>
        <v>0.66666666666666663</v>
      </c>
      <c r="BB3">
        <f>IF(AND(H3&gt;0,AG3&gt;0), K3/AG3, 0)</f>
        <v>0.66666666666666663</v>
      </c>
      <c r="BC3">
        <f>IF(AND(I3&gt;0,AG3&gt;0), K3/AG3, 0)</f>
        <v>0.66666666666666663</v>
      </c>
      <c r="BF3">
        <f>IF(AND(G3&gt;0,AG3&gt;0), (L3*M3)/AG3, 0)</f>
        <v>3.3333333333333335</v>
      </c>
      <c r="BG3">
        <f>IF(AND(H3&gt;0,AG3&gt;0), (L3*M3)/AG3, 0)</f>
        <v>3.3333333333333335</v>
      </c>
      <c r="BH3">
        <f>IF(AND(I3&gt;0,AG3&gt;0), (L3*M3)/AG3, 0)</f>
        <v>3.3333333333333335</v>
      </c>
    </row>
    <row r="4" spans="1:60" x14ac:dyDescent="0.3">
      <c r="A4" t="str">
        <v>Part B</v>
      </c>
      <c r="B4">
        <f>IF(A4="", "", COUNTIF($A$3:A4, A4))</f>
        <v>1</v>
      </c>
      <c r="C4">
        <f t="shared" ref="C4:C31" si="12">IF(B4=1, 0, D3)</f>
        <v>0</v>
      </c>
      <c r="D4">
        <f>C4 + _xlfn.XLOOKUP(A4, tblScenario[Component], tblScenario[Effective Life])</f>
        <v>30</v>
      </c>
      <c r="E4">
        <f t="shared" si="0"/>
        <v>30</v>
      </c>
      <c r="F4">
        <f t="shared" ref="F4:F28" si="13">E4 - C4</f>
        <v>30</v>
      </c>
      <c r="G4">
        <f t="shared" si="1"/>
        <v>10</v>
      </c>
      <c r="H4">
        <f t="shared" si="2"/>
        <v>10</v>
      </c>
      <c r="I4">
        <f t="shared" si="3"/>
        <v>10</v>
      </c>
      <c r="J4">
        <f>_xlfn.XLOOKUP(A4, tblScenario[Component], tblScenario[Manufacturing 
(kgCO2eq) ])</f>
        <v>10</v>
      </c>
      <c r="K4">
        <f>_xlfn.XLOOKUP(A4, tblScenario[Component], tblScenario[EOL Disposal 
(kgCO2eq)])</f>
        <v>2</v>
      </c>
      <c r="L4">
        <f>_xlfn.XLOOKUP(A4, tblScenario[Component], tblScenario[Refurbishment 
(kgCO2eq)],"")</f>
        <v>5</v>
      </c>
      <c r="M4" s="1">
        <f t="shared" ref="M4:M61" si="14">IF(G4&gt;0,H4&gt;0,0) + IF(H4&gt;0,I4&gt;0,0)</f>
        <v>2</v>
      </c>
      <c r="N4" s="3">
        <f t="shared" ref="N4:N61" si="15">2/$F4</f>
        <v>6.6666666666666666E-2</v>
      </c>
      <c r="O4" s="3">
        <f t="shared" ref="O4:O28" si="16">((H4+I4)/F4)*N4</f>
        <v>4.4444444444444439E-2</v>
      </c>
      <c r="P4" s="3">
        <f t="shared" ref="P4:P28" si="17">I4/F4*N4</f>
        <v>2.222222222222222E-2</v>
      </c>
      <c r="Q4" s="3">
        <f t="shared" si="4"/>
        <v>0.55555555555555558</v>
      </c>
      <c r="R4" s="3">
        <f t="shared" si="4"/>
        <v>0.33333333333333326</v>
      </c>
      <c r="S4" s="3">
        <f t="shared" si="5"/>
        <v>0.1111111111111111</v>
      </c>
      <c r="T4" s="3">
        <f t="shared" ref="T4:T28" si="18">SUM(Q4:S4)</f>
        <v>1</v>
      </c>
      <c r="U4" s="4">
        <f>$Q4*$J4</f>
        <v>5.5555555555555554</v>
      </c>
      <c r="V4" s="4">
        <f t="shared" si="6"/>
        <v>3.3333333333333326</v>
      </c>
      <c r="W4" s="4">
        <f t="shared" si="7"/>
        <v>1.1111111111111112</v>
      </c>
      <c r="X4" s="3">
        <f t="shared" ref="X4:X28" si="19">SUM(U4:W4)</f>
        <v>9.9999999999999982</v>
      </c>
      <c r="Y4" s="5">
        <f t="shared" ref="Y4:Y61" si="20">IF(Q4=1,K4,IF(Q4=0,0,IF(R4=0,0,IF(S4=0,R4*K4,S4*K4))))</f>
        <v>0.22222222222222221</v>
      </c>
      <c r="Z4" s="5">
        <f>IF(R4=1,K4,IF(R4=0,0,IF(Q4=0,S4*K4,IF(S4=0,Q4*K4,R4*K4))))</f>
        <v>0.66666666666666652</v>
      </c>
      <c r="AA4" s="5">
        <f>IF(S4=0, 0, IF(R4=0, S4*K4, IF(Q4=0, R4*K4, Q4*K4)))</f>
        <v>1.1111111111111112</v>
      </c>
      <c r="AB4" s="6">
        <f t="shared" si="8"/>
        <v>2</v>
      </c>
      <c r="AC4" s="7">
        <f t="shared" ref="AC4:AC28" si="21">IF(G4&gt;0, L4*M4 / COUNTIF(G4:I4, "&gt;0"), 0)</f>
        <v>3.3333333333333335</v>
      </c>
      <c r="AD4" s="7">
        <f t="shared" si="9"/>
        <v>3.3333333333333335</v>
      </c>
      <c r="AE4" s="8">
        <f t="shared" si="10"/>
        <v>3.3333333333333335</v>
      </c>
      <c r="AG4">
        <f t="shared" ref="AG4:AG61" si="22">COUNTIF(G4:I4,"&gt;0")</f>
        <v>3</v>
      </c>
      <c r="AH4">
        <f t="shared" ref="AH4:AH61" si="23">IF(AND(G4&gt;0,H4&gt;0),1,0)</f>
        <v>1</v>
      </c>
      <c r="AI4">
        <f t="shared" ref="AI4:AI61" si="24">IF(AND(H4&gt;0,I4&gt;0),1,0)</f>
        <v>1</v>
      </c>
      <c r="AJ4">
        <f t="shared" ref="AJ4:AJ9" si="25">IF(G4&gt;0,J4,0)</f>
        <v>10</v>
      </c>
      <c r="AK4">
        <f t="shared" ref="AK4:AK9" si="26">IF(AND(G4=0,H4&gt;0),J4,0)</f>
        <v>0</v>
      </c>
      <c r="AL4">
        <f t="shared" ref="AL4:AL9" si="27">IF(AND(G4=0,H4=0,I4&gt;0),J4,0)</f>
        <v>0</v>
      </c>
      <c r="AN4">
        <f t="shared" ref="AN4:AN61" si="28">IF(AND(G4&gt;0,H4=0,I4=0),K4,0)</f>
        <v>0</v>
      </c>
      <c r="AO4">
        <f t="shared" ref="AO4:AO61" si="29">IF(AND(H4&gt;0,I4=0),K4,0)</f>
        <v>0</v>
      </c>
      <c r="AP4">
        <f t="shared" si="11"/>
        <v>2</v>
      </c>
      <c r="AQ4">
        <f t="shared" ref="AQ4:AQ32" si="30">SUM(AN4:AP4)</f>
        <v>2</v>
      </c>
      <c r="AS4">
        <f>0</f>
        <v>0</v>
      </c>
      <c r="AT4">
        <f t="shared" ref="AT4:AT61" si="31">IF(AH4=1,L4,0)</f>
        <v>5</v>
      </c>
      <c r="AU4">
        <f t="shared" ref="AU4:AU61" si="32">IF(AI4=1,L4,0)</f>
        <v>5</v>
      </c>
      <c r="AW4">
        <f t="shared" ref="AW4:AW5" si="33">IF(AND(G4&gt;0,AG4&gt;0), J4/AG4, 0)</f>
        <v>3.3333333333333335</v>
      </c>
      <c r="AX4">
        <f t="shared" ref="AX4:AX5" si="34">IF(AND(H4&gt;0,AG4&gt;0), J4/AG4, 0)</f>
        <v>3.3333333333333335</v>
      </c>
      <c r="AY4">
        <f t="shared" ref="AY4:AY5" si="35">IF(AND(I4&gt;0,AG4&gt;0), J4/AG4, 0)</f>
        <v>3.3333333333333335</v>
      </c>
      <c r="BA4">
        <f>IF(AND(G4&gt;0,AG4&gt;0), K4/AG4, 0)</f>
        <v>0.66666666666666663</v>
      </c>
      <c r="BB4">
        <f>IF(AND(H4&gt;0,AG4&gt;0), K4/AG4, 0)</f>
        <v>0.66666666666666663</v>
      </c>
      <c r="BC4">
        <f>IF(AND(I4&gt;0,AG4&gt;0), K4/AG4, 0)</f>
        <v>0.66666666666666663</v>
      </c>
      <c r="BF4">
        <f t="shared" ref="BF4:BF6" si="36">IF(AND(G4&gt;0,AG4&gt;0), (L4*M4)/AG4, 0)</f>
        <v>3.3333333333333335</v>
      </c>
      <c r="BG4">
        <f t="shared" ref="BG4:BG6" si="37">IF(AND(H4&gt;0,AG4&gt;0), (L4*M4)/AG4, 0)</f>
        <v>3.3333333333333335</v>
      </c>
      <c r="BH4">
        <f t="shared" ref="BH4:BH6" si="38">IF(AND(I4&gt;0,AG4&gt;0), (L4*M4)/AG4, 0)</f>
        <v>3.3333333333333335</v>
      </c>
    </row>
    <row r="5" spans="1:60" x14ac:dyDescent="0.3">
      <c r="A5" t="str">
        <v>Part C</v>
      </c>
      <c r="B5">
        <f>IF(A5="", "", COUNTIF($A$3:A5, A5))</f>
        <v>1</v>
      </c>
      <c r="C5">
        <f t="shared" si="12"/>
        <v>0</v>
      </c>
      <c r="D5">
        <f>C5 + _xlfn.XLOOKUP(A5, tblScenario[Component], tblScenario[Effective Life])</f>
        <v>30</v>
      </c>
      <c r="E5">
        <f t="shared" si="0"/>
        <v>30</v>
      </c>
      <c r="F5">
        <f t="shared" si="13"/>
        <v>30</v>
      </c>
      <c r="G5">
        <f t="shared" si="1"/>
        <v>10</v>
      </c>
      <c r="H5">
        <f t="shared" si="2"/>
        <v>10</v>
      </c>
      <c r="I5">
        <f t="shared" si="3"/>
        <v>10</v>
      </c>
      <c r="J5">
        <f>_xlfn.XLOOKUP(A5, tblScenario[Component], tblScenario[Manufacturing 
(kgCO2eq) ])</f>
        <v>10</v>
      </c>
      <c r="K5">
        <f>_xlfn.XLOOKUP(A5, tblScenario[Component], tblScenario[EOL Disposal 
(kgCO2eq)])</f>
        <v>2</v>
      </c>
      <c r="L5">
        <f>_xlfn.XLOOKUP(A5, tblScenario[Component], tblScenario[Refurbishment 
(kgCO2eq)],"")</f>
        <v>5</v>
      </c>
      <c r="M5" s="1">
        <f t="shared" si="14"/>
        <v>2</v>
      </c>
      <c r="N5" s="3">
        <f t="shared" si="15"/>
        <v>6.6666666666666666E-2</v>
      </c>
      <c r="O5" s="3">
        <f t="shared" si="16"/>
        <v>4.4444444444444439E-2</v>
      </c>
      <c r="P5" s="3">
        <f t="shared" si="17"/>
        <v>2.222222222222222E-2</v>
      </c>
      <c r="Q5" s="3">
        <f t="shared" si="4"/>
        <v>0.55555555555555558</v>
      </c>
      <c r="R5" s="3">
        <f t="shared" si="4"/>
        <v>0.33333333333333326</v>
      </c>
      <c r="S5" s="3">
        <f t="shared" si="5"/>
        <v>0.1111111111111111</v>
      </c>
      <c r="T5" s="3">
        <f t="shared" si="18"/>
        <v>1</v>
      </c>
      <c r="U5" s="4">
        <f t="shared" ref="U5:U61" si="39">$Q5*$J5</f>
        <v>5.5555555555555554</v>
      </c>
      <c r="V5" s="4">
        <f t="shared" si="6"/>
        <v>3.3333333333333326</v>
      </c>
      <c r="W5" s="4">
        <f t="shared" si="7"/>
        <v>1.1111111111111112</v>
      </c>
      <c r="X5" s="3">
        <f t="shared" si="19"/>
        <v>9.9999999999999982</v>
      </c>
      <c r="Y5" s="5">
        <f t="shared" si="20"/>
        <v>0.22222222222222221</v>
      </c>
      <c r="Z5" s="5">
        <f>IF(R5=1,K5,IF(R5=0,0,IF(Q5=0,S5*K5,IF(S5=0,Q5*K5,R5*K5))))</f>
        <v>0.66666666666666652</v>
      </c>
      <c r="AA5" s="5">
        <f t="shared" ref="AA5:AA28" si="40">IF(S5=0, 0, IF(R5=0, S5*K5, IF(Q5=0, R5*K5, Q5*K5)))</f>
        <v>1.1111111111111112</v>
      </c>
      <c r="AB5" s="6">
        <f t="shared" si="8"/>
        <v>2</v>
      </c>
      <c r="AC5" s="7">
        <f t="shared" si="21"/>
        <v>3.3333333333333335</v>
      </c>
      <c r="AD5" s="7">
        <f t="shared" si="9"/>
        <v>3.3333333333333335</v>
      </c>
      <c r="AE5" s="8">
        <f t="shared" si="10"/>
        <v>3.3333333333333335</v>
      </c>
      <c r="AG5">
        <f t="shared" si="22"/>
        <v>3</v>
      </c>
      <c r="AH5">
        <f t="shared" si="23"/>
        <v>1</v>
      </c>
      <c r="AI5">
        <f t="shared" si="24"/>
        <v>1</v>
      </c>
      <c r="AJ5">
        <f t="shared" si="25"/>
        <v>10</v>
      </c>
      <c r="AK5">
        <f t="shared" si="26"/>
        <v>0</v>
      </c>
      <c r="AL5">
        <f t="shared" si="27"/>
        <v>0</v>
      </c>
      <c r="AN5">
        <f t="shared" si="28"/>
        <v>0</v>
      </c>
      <c r="AO5">
        <f t="shared" si="29"/>
        <v>0</v>
      </c>
      <c r="AP5">
        <f t="shared" si="11"/>
        <v>2</v>
      </c>
      <c r="AQ5">
        <f t="shared" si="30"/>
        <v>2</v>
      </c>
      <c r="AS5">
        <f>0</f>
        <v>0</v>
      </c>
      <c r="AT5">
        <f t="shared" si="31"/>
        <v>5</v>
      </c>
      <c r="AU5">
        <f t="shared" si="32"/>
        <v>5</v>
      </c>
      <c r="AW5">
        <f t="shared" si="33"/>
        <v>3.3333333333333335</v>
      </c>
      <c r="AX5">
        <f t="shared" si="34"/>
        <v>3.3333333333333335</v>
      </c>
      <c r="AY5">
        <f t="shared" si="35"/>
        <v>3.3333333333333335</v>
      </c>
      <c r="BA5">
        <f>IF(AND(G5&gt;0,AG5&gt;0), K5/AG5, 0)</f>
        <v>0.66666666666666663</v>
      </c>
      <c r="BB5">
        <f>IF(AND(H5&gt;0,AG5&gt;0), K5/AG5, 0)</f>
        <v>0.66666666666666663</v>
      </c>
      <c r="BC5">
        <f>IF(AND(I5&gt;0,AG5&gt;0), K5/AG5, 0)</f>
        <v>0.66666666666666663</v>
      </c>
      <c r="BF5">
        <f t="shared" si="36"/>
        <v>3.3333333333333335</v>
      </c>
      <c r="BG5">
        <f t="shared" si="37"/>
        <v>3.3333333333333335</v>
      </c>
      <c r="BH5">
        <f t="shared" si="38"/>
        <v>3.3333333333333335</v>
      </c>
    </row>
    <row r="6" spans="1:60" x14ac:dyDescent="0.3">
      <c r="A6" t="str">
        <v xml:space="preserve">Part D </v>
      </c>
      <c r="B6">
        <f>IF(A6="", "", COUNTIF($A$3:A6, A6))</f>
        <v>1</v>
      </c>
      <c r="C6">
        <f t="shared" si="12"/>
        <v>0</v>
      </c>
      <c r="D6">
        <f>C6 + _xlfn.XLOOKUP(A6, tblScenario[Component], tblScenario[Effective Life])</f>
        <v>30</v>
      </c>
      <c r="E6">
        <f t="shared" si="0"/>
        <v>30</v>
      </c>
      <c r="F6">
        <f t="shared" si="13"/>
        <v>30</v>
      </c>
      <c r="G6">
        <f t="shared" si="1"/>
        <v>10</v>
      </c>
      <c r="H6">
        <f t="shared" si="2"/>
        <v>10</v>
      </c>
      <c r="I6">
        <f t="shared" si="3"/>
        <v>10</v>
      </c>
      <c r="J6">
        <f>_xlfn.XLOOKUP(A6, tblScenario[Component], tblScenario[Manufacturing 
(kgCO2eq) ])</f>
        <v>10</v>
      </c>
      <c r="K6">
        <f>_xlfn.XLOOKUP(A6, tblScenario[Component], tblScenario[EOL Disposal 
(kgCO2eq)])</f>
        <v>2</v>
      </c>
      <c r="L6">
        <f>_xlfn.XLOOKUP(A6, tblScenario[Component], tblScenario[Refurbishment 
(kgCO2eq)],"")</f>
        <v>5</v>
      </c>
      <c r="M6" s="1">
        <f t="shared" si="14"/>
        <v>2</v>
      </c>
      <c r="N6" s="3">
        <f>2/$F6</f>
        <v>6.6666666666666666E-2</v>
      </c>
      <c r="O6" s="3">
        <f t="shared" si="16"/>
        <v>4.4444444444444439E-2</v>
      </c>
      <c r="P6" s="3">
        <f t="shared" si="17"/>
        <v>2.222222222222222E-2</v>
      </c>
      <c r="Q6" s="3">
        <f t="shared" si="4"/>
        <v>0.55555555555555558</v>
      </c>
      <c r="R6" s="3">
        <f t="shared" si="4"/>
        <v>0.33333333333333326</v>
      </c>
      <c r="S6" s="3">
        <f t="shared" si="5"/>
        <v>0.1111111111111111</v>
      </c>
      <c r="T6" s="3">
        <f t="shared" si="18"/>
        <v>1</v>
      </c>
      <c r="U6" s="4">
        <f t="shared" si="39"/>
        <v>5.5555555555555554</v>
      </c>
      <c r="V6" s="4">
        <f t="shared" si="6"/>
        <v>3.3333333333333326</v>
      </c>
      <c r="W6" s="4">
        <f t="shared" si="7"/>
        <v>1.1111111111111112</v>
      </c>
      <c r="X6" s="3">
        <f t="shared" si="19"/>
        <v>9.9999999999999982</v>
      </c>
      <c r="Y6" s="5">
        <f t="shared" si="20"/>
        <v>0.22222222222222221</v>
      </c>
      <c r="Z6" s="5">
        <f>IF(R6=1,K6,IF(R6=0,0,IF(Q6=0,S6*K6,IF(S6=0,Q6*K6,R6*K6))))</f>
        <v>0.66666666666666652</v>
      </c>
      <c r="AA6" s="5">
        <f t="shared" si="40"/>
        <v>1.1111111111111112</v>
      </c>
      <c r="AB6" s="6">
        <f t="shared" si="8"/>
        <v>2</v>
      </c>
      <c r="AC6" s="7">
        <f t="shared" si="21"/>
        <v>3.3333333333333335</v>
      </c>
      <c r="AD6" s="7">
        <f t="shared" si="9"/>
        <v>3.3333333333333335</v>
      </c>
      <c r="AE6" s="8">
        <f t="shared" si="10"/>
        <v>3.3333333333333335</v>
      </c>
      <c r="AG6">
        <f t="shared" si="22"/>
        <v>3</v>
      </c>
      <c r="AH6">
        <f t="shared" si="23"/>
        <v>1</v>
      </c>
      <c r="AI6">
        <f t="shared" si="24"/>
        <v>1</v>
      </c>
      <c r="AJ6">
        <f t="shared" si="25"/>
        <v>10</v>
      </c>
      <c r="AK6">
        <f t="shared" si="26"/>
        <v>0</v>
      </c>
      <c r="AL6">
        <f t="shared" si="27"/>
        <v>0</v>
      </c>
      <c r="AN6">
        <f t="shared" si="28"/>
        <v>0</v>
      </c>
      <c r="AO6">
        <f t="shared" si="29"/>
        <v>0</v>
      </c>
      <c r="AP6">
        <f t="shared" si="11"/>
        <v>2</v>
      </c>
      <c r="AQ6">
        <f t="shared" si="30"/>
        <v>2</v>
      </c>
      <c r="AS6">
        <f>0</f>
        <v>0</v>
      </c>
      <c r="AT6">
        <f t="shared" si="31"/>
        <v>5</v>
      </c>
      <c r="AU6">
        <f t="shared" si="32"/>
        <v>5</v>
      </c>
      <c r="AW6">
        <f>IF(AND(G6&gt;0,AG6&gt;0), J6/AG6, 0)</f>
        <v>3.3333333333333335</v>
      </c>
      <c r="AX6">
        <f>IF(AND(H6&gt;0,AG6&gt;0), J6/AG6, 0)</f>
        <v>3.3333333333333335</v>
      </c>
      <c r="AY6">
        <f>IF(AND(I6&gt;0,AG6&gt;0), J6/AG6, 0)</f>
        <v>3.3333333333333335</v>
      </c>
      <c r="BA6">
        <f t="shared" ref="BA6:BA61" si="41">IF(AND(G6&gt;0,AG6&gt;0), K6/AG6, 0)</f>
        <v>0.66666666666666663</v>
      </c>
      <c r="BB6">
        <f t="shared" ref="BB6:BB61" si="42">IF(AND(H6&gt;0,AG6&gt;0), K6/AG6, 0)</f>
        <v>0.66666666666666663</v>
      </c>
      <c r="BC6">
        <f t="shared" ref="BC6:BC61" si="43">IF(AND(I6&gt;0,AG6&gt;0), K6/AG6, 0)</f>
        <v>0.66666666666666663</v>
      </c>
      <c r="BF6">
        <f t="shared" si="36"/>
        <v>3.3333333333333335</v>
      </c>
      <c r="BG6">
        <f t="shared" si="37"/>
        <v>3.3333333333333335</v>
      </c>
      <c r="BH6">
        <f t="shared" si="38"/>
        <v>3.3333333333333335</v>
      </c>
    </row>
    <row r="7" spans="1:60" x14ac:dyDescent="0.3">
      <c r="A7" t="str">
        <v xml:space="preserve">Part E </v>
      </c>
      <c r="B7">
        <f>IF(A7="", "", COUNTIF($A$3:A7, A7))</f>
        <v>1</v>
      </c>
      <c r="C7">
        <f t="shared" si="12"/>
        <v>0</v>
      </c>
      <c r="D7">
        <f>C7 + _xlfn.XLOOKUP(A7, tblScenario[Component], tblScenario[Effective Life])</f>
        <v>30</v>
      </c>
      <c r="E7">
        <f t="shared" si="0"/>
        <v>30</v>
      </c>
      <c r="F7">
        <f t="shared" si="13"/>
        <v>30</v>
      </c>
      <c r="G7">
        <f t="shared" si="1"/>
        <v>10</v>
      </c>
      <c r="H7">
        <f t="shared" si="2"/>
        <v>10</v>
      </c>
      <c r="I7">
        <f t="shared" si="3"/>
        <v>10</v>
      </c>
      <c r="J7">
        <f>_xlfn.XLOOKUP(A7, tblScenario[Component], tblScenario[Manufacturing 
(kgCO2eq) ])</f>
        <v>10</v>
      </c>
      <c r="K7">
        <f>_xlfn.XLOOKUP(A7, tblScenario[Component], tblScenario[EOL Disposal 
(kgCO2eq)])</f>
        <v>2</v>
      </c>
      <c r="L7">
        <f>_xlfn.XLOOKUP(A7, tblScenario[Component], tblScenario[Refurbishment 
(kgCO2eq)],"")</f>
        <v>5</v>
      </c>
      <c r="M7" s="1">
        <f t="shared" si="14"/>
        <v>2</v>
      </c>
      <c r="N7" s="3">
        <f t="shared" si="15"/>
        <v>6.6666666666666666E-2</v>
      </c>
      <c r="O7" s="3">
        <f t="shared" si="16"/>
        <v>4.4444444444444439E-2</v>
      </c>
      <c r="P7" s="3">
        <f t="shared" si="17"/>
        <v>2.222222222222222E-2</v>
      </c>
      <c r="Q7" s="3">
        <f t="shared" si="4"/>
        <v>0.55555555555555558</v>
      </c>
      <c r="R7" s="3">
        <f t="shared" si="4"/>
        <v>0.33333333333333326</v>
      </c>
      <c r="S7" s="3">
        <f t="shared" si="5"/>
        <v>0.1111111111111111</v>
      </c>
      <c r="T7" s="3">
        <f t="shared" si="18"/>
        <v>1</v>
      </c>
      <c r="U7" s="4">
        <f t="shared" si="39"/>
        <v>5.5555555555555554</v>
      </c>
      <c r="V7" s="4">
        <f t="shared" si="6"/>
        <v>3.3333333333333326</v>
      </c>
      <c r="W7" s="4">
        <f t="shared" si="7"/>
        <v>1.1111111111111112</v>
      </c>
      <c r="X7" s="3">
        <f t="shared" si="19"/>
        <v>9.9999999999999982</v>
      </c>
      <c r="Y7" s="5">
        <f t="shared" si="20"/>
        <v>0.22222222222222221</v>
      </c>
      <c r="Z7" s="5">
        <f>IF(R7=1,K7,IF(R7=0,0,IF(Q7=0,S7*K7,IF(S7=0,Q7*K7,R7*K7))))</f>
        <v>0.66666666666666652</v>
      </c>
      <c r="AA7" s="5">
        <f t="shared" si="40"/>
        <v>1.1111111111111112</v>
      </c>
      <c r="AB7" s="6">
        <f t="shared" si="8"/>
        <v>2</v>
      </c>
      <c r="AC7" s="7">
        <f t="shared" si="21"/>
        <v>3.3333333333333335</v>
      </c>
      <c r="AD7" s="7">
        <f t="shared" si="9"/>
        <v>3.3333333333333335</v>
      </c>
      <c r="AE7" s="8">
        <f t="shared" si="10"/>
        <v>3.3333333333333335</v>
      </c>
      <c r="AG7">
        <f t="shared" si="22"/>
        <v>3</v>
      </c>
      <c r="AH7">
        <f t="shared" si="23"/>
        <v>1</v>
      </c>
      <c r="AI7">
        <f t="shared" si="24"/>
        <v>1</v>
      </c>
      <c r="AJ7">
        <f t="shared" si="25"/>
        <v>10</v>
      </c>
      <c r="AK7">
        <f t="shared" si="26"/>
        <v>0</v>
      </c>
      <c r="AL7">
        <f t="shared" si="27"/>
        <v>0</v>
      </c>
      <c r="AN7">
        <f t="shared" si="28"/>
        <v>0</v>
      </c>
      <c r="AO7">
        <f t="shared" si="29"/>
        <v>0</v>
      </c>
      <c r="AP7">
        <f t="shared" si="11"/>
        <v>2</v>
      </c>
      <c r="AQ7">
        <f t="shared" si="30"/>
        <v>2</v>
      </c>
      <c r="AS7">
        <f>0</f>
        <v>0</v>
      </c>
      <c r="AT7">
        <f t="shared" si="31"/>
        <v>5</v>
      </c>
      <c r="AU7">
        <f t="shared" si="32"/>
        <v>5</v>
      </c>
      <c r="AW7">
        <f t="shared" ref="AW7:AW11" si="44">IF(AND(G7&gt;0,AG7&gt;0), J7/AG7, 0)</f>
        <v>3.3333333333333335</v>
      </c>
      <c r="AX7">
        <f t="shared" ref="AX7:AX11" si="45">IF(AND(H7&gt;0,AG7&gt;0), J7/AG7, 0)</f>
        <v>3.3333333333333335</v>
      </c>
      <c r="AY7">
        <f t="shared" ref="AY7:AY11" si="46">IF(AND(I7&gt;0,AG7&gt;0), J7/AG7, 0)</f>
        <v>3.3333333333333335</v>
      </c>
      <c r="BA7">
        <f t="shared" si="41"/>
        <v>0.66666666666666663</v>
      </c>
      <c r="BB7">
        <f t="shared" si="42"/>
        <v>0.66666666666666663</v>
      </c>
      <c r="BC7">
        <f t="shared" si="43"/>
        <v>0.66666666666666663</v>
      </c>
      <c r="BF7">
        <f t="shared" ref="BF7:BF13" si="47">IF(AND(G7&gt;0,AG7&gt;0), (L7*M7)/AG7, 0)</f>
        <v>3.3333333333333335</v>
      </c>
      <c r="BG7">
        <f t="shared" ref="BG7:BG13" si="48">IF(AND(H7&gt;0,AG7&gt;0), (L7*M7)/AG7, 0)</f>
        <v>3.3333333333333335</v>
      </c>
      <c r="BH7">
        <f t="shared" ref="BH7:BH13" si="49">IF(AND(I7&gt;0,AG7&gt;0), (L7*M7)/AG7, 0)</f>
        <v>3.3333333333333335</v>
      </c>
    </row>
    <row r="8" spans="1:60" x14ac:dyDescent="0.3">
      <c r="A8" t="str">
        <v>Part F</v>
      </c>
      <c r="B8">
        <f>IF(A8="", "", COUNTIF($A$3:A8, A8))</f>
        <v>1</v>
      </c>
      <c r="C8">
        <f t="shared" si="12"/>
        <v>0</v>
      </c>
      <c r="D8">
        <f>C8 + _xlfn.XLOOKUP(A8, tblScenario[Component], tblScenario[Effective Life])</f>
        <v>30</v>
      </c>
      <c r="E8">
        <f t="shared" si="0"/>
        <v>30</v>
      </c>
      <c r="F8">
        <f t="shared" si="13"/>
        <v>30</v>
      </c>
      <c r="G8">
        <f t="shared" si="1"/>
        <v>10</v>
      </c>
      <c r="H8">
        <f t="shared" si="2"/>
        <v>10</v>
      </c>
      <c r="I8">
        <f t="shared" si="3"/>
        <v>10</v>
      </c>
      <c r="J8">
        <f>_xlfn.XLOOKUP(A8, tblScenario[Component], tblScenario[Manufacturing 
(kgCO2eq) ])</f>
        <v>10</v>
      </c>
      <c r="K8">
        <f>_xlfn.XLOOKUP(A8, tblScenario[Component], tblScenario[EOL Disposal 
(kgCO2eq)])</f>
        <v>2</v>
      </c>
      <c r="L8">
        <f>_xlfn.XLOOKUP(A8, tblScenario[Component], tblScenario[Refurbishment 
(kgCO2eq)],"")</f>
        <v>5</v>
      </c>
      <c r="M8" s="1">
        <f t="shared" si="14"/>
        <v>2</v>
      </c>
      <c r="N8" s="3">
        <f t="shared" si="15"/>
        <v>6.6666666666666666E-2</v>
      </c>
      <c r="O8" s="3">
        <f t="shared" si="16"/>
        <v>4.4444444444444439E-2</v>
      </c>
      <c r="P8" s="3">
        <f t="shared" si="17"/>
        <v>2.222222222222222E-2</v>
      </c>
      <c r="Q8" s="3">
        <f t="shared" si="4"/>
        <v>0.55555555555555558</v>
      </c>
      <c r="R8" s="3">
        <f t="shared" si="4"/>
        <v>0.33333333333333326</v>
      </c>
      <c r="S8" s="3">
        <f t="shared" si="5"/>
        <v>0.1111111111111111</v>
      </c>
      <c r="T8" s="3">
        <f t="shared" si="18"/>
        <v>1</v>
      </c>
      <c r="U8" s="4">
        <f t="shared" si="39"/>
        <v>5.5555555555555554</v>
      </c>
      <c r="V8" s="4">
        <f t="shared" si="6"/>
        <v>3.3333333333333326</v>
      </c>
      <c r="W8" s="4">
        <f t="shared" si="7"/>
        <v>1.1111111111111112</v>
      </c>
      <c r="X8" s="3">
        <f t="shared" si="19"/>
        <v>9.9999999999999982</v>
      </c>
      <c r="Y8" s="5">
        <f t="shared" si="20"/>
        <v>0.22222222222222221</v>
      </c>
      <c r="Z8" s="5">
        <f t="shared" ref="Z8:Z61" si="50">IF(R8=1,K8,IF(R8=0,0,IF(Q8=0,S8*K8,IF(S8=0,Q8*K8,R8*K8))))</f>
        <v>0.66666666666666652</v>
      </c>
      <c r="AA8" s="5">
        <f t="shared" si="40"/>
        <v>1.1111111111111112</v>
      </c>
      <c r="AB8" s="6">
        <f t="shared" si="8"/>
        <v>2</v>
      </c>
      <c r="AC8" s="7">
        <f t="shared" si="21"/>
        <v>3.3333333333333335</v>
      </c>
      <c r="AD8" s="7">
        <f t="shared" si="9"/>
        <v>3.3333333333333335</v>
      </c>
      <c r="AE8" s="8">
        <f t="shared" si="10"/>
        <v>3.3333333333333335</v>
      </c>
      <c r="AG8">
        <f t="shared" si="22"/>
        <v>3</v>
      </c>
      <c r="AH8">
        <f t="shared" si="23"/>
        <v>1</v>
      </c>
      <c r="AI8">
        <f t="shared" si="24"/>
        <v>1</v>
      </c>
      <c r="AJ8">
        <f t="shared" si="25"/>
        <v>10</v>
      </c>
      <c r="AK8">
        <f t="shared" si="26"/>
        <v>0</v>
      </c>
      <c r="AL8">
        <f t="shared" si="27"/>
        <v>0</v>
      </c>
      <c r="AN8">
        <f t="shared" si="28"/>
        <v>0</v>
      </c>
      <c r="AO8">
        <f t="shared" si="29"/>
        <v>0</v>
      </c>
      <c r="AP8">
        <f t="shared" si="11"/>
        <v>2</v>
      </c>
      <c r="AQ8">
        <f t="shared" si="30"/>
        <v>2</v>
      </c>
      <c r="AS8">
        <f>0</f>
        <v>0</v>
      </c>
      <c r="AT8">
        <f t="shared" si="31"/>
        <v>5</v>
      </c>
      <c r="AU8">
        <f t="shared" si="32"/>
        <v>5</v>
      </c>
      <c r="AW8">
        <f t="shared" si="44"/>
        <v>3.3333333333333335</v>
      </c>
      <c r="AX8">
        <f t="shared" si="45"/>
        <v>3.3333333333333335</v>
      </c>
      <c r="AY8">
        <f t="shared" si="46"/>
        <v>3.3333333333333335</v>
      </c>
      <c r="BA8">
        <f t="shared" si="41"/>
        <v>0.66666666666666663</v>
      </c>
      <c r="BB8">
        <f t="shared" si="42"/>
        <v>0.66666666666666663</v>
      </c>
      <c r="BC8">
        <f t="shared" si="43"/>
        <v>0.66666666666666663</v>
      </c>
      <c r="BF8">
        <f t="shared" si="47"/>
        <v>3.3333333333333335</v>
      </c>
      <c r="BG8">
        <f t="shared" si="48"/>
        <v>3.3333333333333335</v>
      </c>
      <c r="BH8">
        <f t="shared" si="49"/>
        <v>3.3333333333333335</v>
      </c>
    </row>
    <row r="9" spans="1:60" x14ac:dyDescent="0.3">
      <c r="A9" t="str">
        <v xml:space="preserve">Part G </v>
      </c>
      <c r="B9">
        <f>IF(A9="", "", COUNTIF($A$3:A9, A9))</f>
        <v>1</v>
      </c>
      <c r="C9">
        <f t="shared" si="12"/>
        <v>0</v>
      </c>
      <c r="D9">
        <f>C9 + _xlfn.XLOOKUP(A9, tblScenario[Component], tblScenario[Effective Life])</f>
        <v>30</v>
      </c>
      <c r="E9">
        <f t="shared" si="0"/>
        <v>30</v>
      </c>
      <c r="F9">
        <f t="shared" si="13"/>
        <v>30</v>
      </c>
      <c r="G9">
        <f t="shared" si="1"/>
        <v>10</v>
      </c>
      <c r="H9">
        <f t="shared" si="2"/>
        <v>10</v>
      </c>
      <c r="I9">
        <f t="shared" si="3"/>
        <v>10</v>
      </c>
      <c r="J9">
        <f>_xlfn.XLOOKUP(A9, tblScenario[Component], tblScenario[Manufacturing 
(kgCO2eq) ])</f>
        <v>10</v>
      </c>
      <c r="K9">
        <f>_xlfn.XLOOKUP(A9, tblScenario[Component], tblScenario[EOL Disposal 
(kgCO2eq)])</f>
        <v>2</v>
      </c>
      <c r="L9">
        <f>_xlfn.XLOOKUP(A9, tblScenario[Component], tblScenario[Refurbishment 
(kgCO2eq)],"")</f>
        <v>5</v>
      </c>
      <c r="M9" s="1">
        <f t="shared" si="14"/>
        <v>2</v>
      </c>
      <c r="N9" s="3">
        <f t="shared" si="15"/>
        <v>6.6666666666666666E-2</v>
      </c>
      <c r="O9" s="3">
        <f t="shared" si="16"/>
        <v>4.4444444444444439E-2</v>
      </c>
      <c r="P9" s="3">
        <f t="shared" si="17"/>
        <v>2.222222222222222E-2</v>
      </c>
      <c r="Q9" s="3">
        <f t="shared" si="4"/>
        <v>0.55555555555555558</v>
      </c>
      <c r="R9" s="3">
        <f t="shared" si="4"/>
        <v>0.33333333333333326</v>
      </c>
      <c r="S9" s="3">
        <f t="shared" si="5"/>
        <v>0.1111111111111111</v>
      </c>
      <c r="T9" s="3">
        <f t="shared" si="18"/>
        <v>1</v>
      </c>
      <c r="U9" s="4">
        <f t="shared" si="39"/>
        <v>5.5555555555555554</v>
      </c>
      <c r="V9" s="4">
        <f t="shared" si="6"/>
        <v>3.3333333333333326</v>
      </c>
      <c r="W9" s="4">
        <f t="shared" si="7"/>
        <v>1.1111111111111112</v>
      </c>
      <c r="X9" s="3">
        <f t="shared" si="19"/>
        <v>9.9999999999999982</v>
      </c>
      <c r="Y9" s="5">
        <f t="shared" si="20"/>
        <v>0.22222222222222221</v>
      </c>
      <c r="Z9" s="5">
        <f t="shared" si="50"/>
        <v>0.66666666666666652</v>
      </c>
      <c r="AA9" s="5">
        <f t="shared" si="40"/>
        <v>1.1111111111111112</v>
      </c>
      <c r="AB9" s="6">
        <f t="shared" si="8"/>
        <v>2</v>
      </c>
      <c r="AC9" s="7">
        <f t="shared" si="21"/>
        <v>3.3333333333333335</v>
      </c>
      <c r="AD9" s="7">
        <f t="shared" si="9"/>
        <v>3.3333333333333335</v>
      </c>
      <c r="AE9" s="8">
        <f t="shared" si="10"/>
        <v>3.3333333333333335</v>
      </c>
      <c r="AG9">
        <f t="shared" si="22"/>
        <v>3</v>
      </c>
      <c r="AH9">
        <f t="shared" si="23"/>
        <v>1</v>
      </c>
      <c r="AI9">
        <f t="shared" si="24"/>
        <v>1</v>
      </c>
      <c r="AJ9">
        <f t="shared" si="25"/>
        <v>10</v>
      </c>
      <c r="AK9">
        <f t="shared" si="26"/>
        <v>0</v>
      </c>
      <c r="AL9">
        <f t="shared" si="27"/>
        <v>0</v>
      </c>
      <c r="AN9">
        <f t="shared" si="28"/>
        <v>0</v>
      </c>
      <c r="AO9">
        <f t="shared" si="29"/>
        <v>0</v>
      </c>
      <c r="AP9">
        <f t="shared" ref="AP9:AP61" si="51">IF(I9&gt;0,K9,0)</f>
        <v>2</v>
      </c>
      <c r="AQ9">
        <f t="shared" si="30"/>
        <v>2</v>
      </c>
      <c r="AS9">
        <f>0</f>
        <v>0</v>
      </c>
      <c r="AT9">
        <f t="shared" si="31"/>
        <v>5</v>
      </c>
      <c r="AU9">
        <f t="shared" si="32"/>
        <v>5</v>
      </c>
      <c r="AW9">
        <f t="shared" si="44"/>
        <v>3.3333333333333335</v>
      </c>
      <c r="AX9">
        <f t="shared" si="45"/>
        <v>3.3333333333333335</v>
      </c>
      <c r="AY9">
        <f t="shared" si="46"/>
        <v>3.3333333333333335</v>
      </c>
      <c r="BA9">
        <f t="shared" si="41"/>
        <v>0.66666666666666663</v>
      </c>
      <c r="BB9">
        <f t="shared" si="42"/>
        <v>0.66666666666666663</v>
      </c>
      <c r="BC9">
        <f t="shared" si="43"/>
        <v>0.66666666666666663</v>
      </c>
      <c r="BF9">
        <f t="shared" si="47"/>
        <v>3.3333333333333335</v>
      </c>
      <c r="BG9">
        <f t="shared" si="48"/>
        <v>3.3333333333333335</v>
      </c>
      <c r="BH9">
        <f t="shared" si="49"/>
        <v>3.3333333333333335</v>
      </c>
    </row>
    <row r="87" spans="2:2" x14ac:dyDescent="0.3">
      <c r="B87" t="str">
        <f>IF(A87="", "", COUNTIF($A$3:A87, A87))</f>
        <v/>
      </c>
    </row>
    <row r="88" spans="2:2" x14ac:dyDescent="0.3">
      <c r="B88" t="str">
        <f>IF(A88="", "", COUNTIF($A$3:A88, A88))</f>
        <v/>
      </c>
    </row>
    <row r="89" spans="2:2" x14ac:dyDescent="0.3">
      <c r="B89" t="str">
        <f>IF(A89="", "", COUNTIF($A$3:A89, A89))</f>
        <v/>
      </c>
    </row>
    <row r="90" spans="2:2" x14ac:dyDescent="0.3">
      <c r="B90" t="str">
        <f>IF(A90="", "", COUNTIF($A$3:A90, A90))</f>
        <v/>
      </c>
    </row>
    <row r="91" spans="2:2" x14ac:dyDescent="0.3">
      <c r="B91" t="str">
        <f>IF(A91="", "", COUNTIF($A$3:A91, A91))</f>
        <v/>
      </c>
    </row>
    <row r="92" spans="2:2" x14ac:dyDescent="0.3">
      <c r="B92" t="str">
        <f>IF(A92="", "", COUNTIF($A$3:A92, A92))</f>
        <v/>
      </c>
    </row>
    <row r="93" spans="2:2" x14ac:dyDescent="0.3">
      <c r="B93" t="str">
        <f>IF(A93="", "", COUNTIF($A$3:A93, A93))</f>
        <v/>
      </c>
    </row>
    <row r="94" spans="2:2" x14ac:dyDescent="0.3">
      <c r="B94" t="str">
        <f>IF(A94="", "", COUNTIF($A$3:A94, A94))</f>
        <v/>
      </c>
    </row>
    <row r="95" spans="2:2" x14ac:dyDescent="0.3">
      <c r="B95" t="str">
        <f>IF(A95="", "", COUNTIF($A$3:A95, A95))</f>
        <v/>
      </c>
    </row>
    <row r="96" spans="2:2" x14ac:dyDescent="0.3">
      <c r="B96" t="str">
        <f>IF(A96="", "", COUNTIF($A$3:A96, A96))</f>
        <v/>
      </c>
    </row>
    <row r="97" spans="2:2" x14ac:dyDescent="0.3">
      <c r="B97" t="str">
        <f>IF(A97="", "", COUNTIF($A$3:A97, A97))</f>
        <v/>
      </c>
    </row>
    <row r="98" spans="2:2" x14ac:dyDescent="0.3">
      <c r="B98" t="str">
        <f>IF(A98="", "", COUNTIF($A$3:A98, A98))</f>
        <v/>
      </c>
    </row>
    <row r="99" spans="2:2" x14ac:dyDescent="0.3">
      <c r="B99" t="str">
        <f>IF(A99="", "", COUNTIF($A$3:A99, A99))</f>
        <v/>
      </c>
    </row>
    <row r="100" spans="2:2" x14ac:dyDescent="0.3">
      <c r="B100" t="str">
        <f>IF(A100="", "", COUNTIF($A$3:A100, A100))</f>
        <v/>
      </c>
    </row>
    <row r="101" spans="2:2" x14ac:dyDescent="0.3">
      <c r="B101" t="str">
        <f>IF(A101="", "", COUNTIF($A$3:A101, A101))</f>
        <v/>
      </c>
    </row>
    <row r="102" spans="2:2" x14ac:dyDescent="0.3">
      <c r="B102" t="str">
        <f>IF(A102="", "", COUNTIF($A$3:A102, A102))</f>
        <v/>
      </c>
    </row>
    <row r="103" spans="2:2" x14ac:dyDescent="0.3">
      <c r="B103" t="str">
        <f>IF(A103="", "", COUNTIF($A$3:A103, A103))</f>
        <v/>
      </c>
    </row>
    <row r="104" spans="2:2" x14ac:dyDescent="0.3">
      <c r="B104" t="str">
        <f>IF(A104="", "", COUNTIF($A$3:A104, A104))</f>
        <v/>
      </c>
    </row>
    <row r="105" spans="2:2" x14ac:dyDescent="0.3">
      <c r="B105" t="str">
        <f>IF(A105="", "", COUNTIF($A$3:A105, A105))</f>
        <v/>
      </c>
    </row>
    <row r="106" spans="2:2" x14ac:dyDescent="0.3">
      <c r="B106" t="str">
        <f>IF(A106="", "", COUNTIF($A$3:A106, A106))</f>
        <v/>
      </c>
    </row>
    <row r="107" spans="2:2" x14ac:dyDescent="0.3">
      <c r="B107" t="str">
        <f>IF(A107="", "", COUNTIF($A$3:A107, A107))</f>
        <v/>
      </c>
    </row>
    <row r="108" spans="2:2" x14ac:dyDescent="0.3">
      <c r="B108" t="str">
        <f>IF(A108="", "", COUNTIF($A$3:A108, A108))</f>
        <v/>
      </c>
    </row>
    <row r="109" spans="2:2" x14ac:dyDescent="0.3">
      <c r="B109" t="str">
        <f>IF(A109="", "", COUNTIF($A$3:A109, A109))</f>
        <v/>
      </c>
    </row>
    <row r="110" spans="2:2" x14ac:dyDescent="0.3">
      <c r="B110" t="str">
        <f>IF(A110="", "", COUNTIF($A$3:A110, A110))</f>
        <v/>
      </c>
    </row>
    <row r="111" spans="2:2" x14ac:dyDescent="0.3">
      <c r="B111" t="str">
        <f>IF(A111="", "", COUNTIF($A$3:A111, A111))</f>
        <v/>
      </c>
    </row>
    <row r="112" spans="2:2" x14ac:dyDescent="0.3">
      <c r="B112" t="str">
        <f>IF(A112="", "", COUNTIF($A$3:A112, A112))</f>
        <v/>
      </c>
    </row>
    <row r="113" spans="2:2" x14ac:dyDescent="0.3">
      <c r="B113" t="str">
        <f>IF(A113="", "", COUNTIF($A$3:A113, A113))</f>
        <v/>
      </c>
    </row>
    <row r="114" spans="2:2" x14ac:dyDescent="0.3">
      <c r="B114" t="str">
        <f>IF(A114="", "", COUNTIF($A$3:A114, A114))</f>
        <v/>
      </c>
    </row>
    <row r="115" spans="2:2" x14ac:dyDescent="0.3">
      <c r="B115" t="str">
        <f>IF(A115="", "", COUNTIF($A$3:A115, A115))</f>
        <v/>
      </c>
    </row>
    <row r="116" spans="2:2" x14ac:dyDescent="0.3">
      <c r="B116" t="str">
        <f>IF(A116="", "", COUNTIF($A$3:A116, A116))</f>
        <v/>
      </c>
    </row>
    <row r="117" spans="2:2" x14ac:dyDescent="0.3">
      <c r="B117" t="str">
        <f>IF(A117="", "", COUNTIF($A$3:A117, A117))</f>
        <v/>
      </c>
    </row>
    <row r="118" spans="2:2" x14ac:dyDescent="0.3">
      <c r="B118" t="str">
        <f>IF(A118="", "", COUNTIF($A$3:A118, A118))</f>
        <v/>
      </c>
    </row>
    <row r="119" spans="2:2" x14ac:dyDescent="0.3">
      <c r="B119" t="str">
        <f>IF(A119="", "", COUNTIF($A$3:A119, A119))</f>
        <v/>
      </c>
    </row>
    <row r="120" spans="2:2" x14ac:dyDescent="0.3">
      <c r="B120" t="str">
        <f>IF(A120="", "", COUNTIF($A$3:A120, A120))</f>
        <v/>
      </c>
    </row>
    <row r="121" spans="2:2" x14ac:dyDescent="0.3">
      <c r="B121" t="str">
        <f>IF(A121="", "", COUNTIF($A$3:A121, A121))</f>
        <v/>
      </c>
    </row>
    <row r="122" spans="2:2" x14ac:dyDescent="0.3">
      <c r="B122" t="str">
        <f>IF(A122="", "", COUNTIF($A$3:A122, A122))</f>
        <v/>
      </c>
    </row>
    <row r="123" spans="2:2" x14ac:dyDescent="0.3">
      <c r="B123" t="str">
        <f>IF(A123="", "", COUNTIF($A$3:A123, A123))</f>
        <v/>
      </c>
    </row>
    <row r="124" spans="2:2" x14ac:dyDescent="0.3">
      <c r="B124" t="str">
        <f>IF(A124="", "", COUNTIF($A$3:A124, A124))</f>
        <v/>
      </c>
    </row>
    <row r="125" spans="2:2" x14ac:dyDescent="0.3">
      <c r="B125" t="str">
        <f>IF(A125="", "", COUNTIF($A$3:A125, A125))</f>
        <v/>
      </c>
    </row>
    <row r="126" spans="2:2" x14ac:dyDescent="0.3">
      <c r="B126" t="str">
        <f>IF(A126="", "", COUNTIF($A$3:A126, A126))</f>
        <v/>
      </c>
    </row>
    <row r="127" spans="2:2" x14ac:dyDescent="0.3">
      <c r="B127" t="str">
        <f>IF(A127="", "", COUNTIF($A$3:A127, A127))</f>
        <v/>
      </c>
    </row>
    <row r="128" spans="2:2" x14ac:dyDescent="0.3">
      <c r="B128" t="str">
        <f>IF(A128="", "", COUNTIF($A$3:A128, A128))</f>
        <v/>
      </c>
    </row>
    <row r="129" spans="2:2" x14ac:dyDescent="0.3">
      <c r="B129" t="str">
        <f>IF(A129="", "", COUNTIF($A$3:A129, A129))</f>
        <v/>
      </c>
    </row>
    <row r="130" spans="2:2" x14ac:dyDescent="0.3">
      <c r="B130" t="str">
        <f>IF(A130="", "", COUNTIF($A$3:A130, A130))</f>
        <v/>
      </c>
    </row>
    <row r="131" spans="2:2" x14ac:dyDescent="0.3">
      <c r="B131" t="str">
        <f>IF(A131="", "", COUNTIF($A$3:A131, A131))</f>
        <v/>
      </c>
    </row>
    <row r="132" spans="2:2" x14ac:dyDescent="0.3">
      <c r="B132" t="str">
        <f>IF(A132="", "", COUNTIF($A$3:A132, A132))</f>
        <v/>
      </c>
    </row>
    <row r="133" spans="2:2" x14ac:dyDescent="0.3">
      <c r="B133" t="str">
        <f>IF(A133="", "", COUNTIF($A$3:A133, A133))</f>
        <v/>
      </c>
    </row>
    <row r="134" spans="2:2" x14ac:dyDescent="0.3">
      <c r="B134" t="str">
        <f>IF(A134="", "", COUNTIF($A$3:A134, A134))</f>
        <v/>
      </c>
    </row>
    <row r="135" spans="2:2" x14ac:dyDescent="0.3">
      <c r="B135" t="str">
        <f>IF(A135="", "", COUNTIF($A$3:A135, A135))</f>
        <v/>
      </c>
    </row>
    <row r="136" spans="2:2" x14ac:dyDescent="0.3">
      <c r="B136" t="str">
        <f>IF(A136="", "", COUNTIF($A$3:A136, A136))</f>
        <v/>
      </c>
    </row>
    <row r="137" spans="2:2" x14ac:dyDescent="0.3">
      <c r="B137" t="str">
        <f>IF(A137="", "", COUNTIF($A$3:A137, A137))</f>
        <v/>
      </c>
    </row>
    <row r="138" spans="2:2" x14ac:dyDescent="0.3">
      <c r="B138" t="str">
        <f>IF(A138="", "", COUNTIF($A$3:A138, A138))</f>
        <v/>
      </c>
    </row>
    <row r="139" spans="2:2" x14ac:dyDescent="0.3">
      <c r="B139" t="str">
        <f>IF(A139="", "", COUNTIF($A$3:A139, A139))</f>
        <v/>
      </c>
    </row>
    <row r="140" spans="2:2" x14ac:dyDescent="0.3">
      <c r="B140" t="str">
        <f>IF(A140="", "", COUNTIF($A$3:A140, A140))</f>
        <v/>
      </c>
    </row>
    <row r="141" spans="2:2" x14ac:dyDescent="0.3">
      <c r="B141" t="str">
        <f>IF(A141="", "", COUNTIF($A$3:A141, A141))</f>
        <v/>
      </c>
    </row>
    <row r="142" spans="2:2" x14ac:dyDescent="0.3">
      <c r="B142" t="str">
        <f>IF(A142="", "", COUNTIF($A$3:A142, A142))</f>
        <v/>
      </c>
    </row>
    <row r="143" spans="2:2" x14ac:dyDescent="0.3">
      <c r="B143" t="str">
        <f>IF(A143="", "", COUNTIF($A$3:A143, A143))</f>
        <v/>
      </c>
    </row>
    <row r="144" spans="2:2" x14ac:dyDescent="0.3">
      <c r="B144" t="str">
        <f>IF(A144="", "", COUNTIF($A$3:A144, A144))</f>
        <v/>
      </c>
    </row>
    <row r="145" spans="2:2" x14ac:dyDescent="0.3">
      <c r="B145" t="str">
        <f>IF(A145="", "", COUNTIF($A$3:A145, A145))</f>
        <v/>
      </c>
    </row>
    <row r="146" spans="2:2" x14ac:dyDescent="0.3">
      <c r="B146" t="str">
        <f>IF(A146="", "", COUNTIF($A$3:A146, A146))</f>
        <v/>
      </c>
    </row>
    <row r="147" spans="2:2" x14ac:dyDescent="0.3">
      <c r="B147" t="str">
        <f>IF(A147="", "", COUNTIF($A$3:A147, A147))</f>
        <v/>
      </c>
    </row>
    <row r="148" spans="2:2" x14ac:dyDescent="0.3">
      <c r="B148" t="str">
        <f>IF(A148="", "", COUNTIF($A$3:A148, A148))</f>
        <v/>
      </c>
    </row>
    <row r="149" spans="2:2" x14ac:dyDescent="0.3">
      <c r="B149" t="str">
        <f>IF(A149="", "", COUNTIF($A$3:A149, A149))</f>
        <v/>
      </c>
    </row>
    <row r="150" spans="2:2" x14ac:dyDescent="0.3">
      <c r="B150" t="str">
        <f>IF(A150="", "", COUNTIF($A$3:A150, A150))</f>
        <v/>
      </c>
    </row>
    <row r="151" spans="2:2" x14ac:dyDescent="0.3">
      <c r="B151" t="str">
        <f>IF(A151="", "", COUNTIF($A$3:A151, A151))</f>
        <v/>
      </c>
    </row>
    <row r="152" spans="2:2" x14ac:dyDescent="0.3">
      <c r="B152" t="str">
        <f>IF(A152="", "", COUNTIF($A$3:A152, A152))</f>
        <v/>
      </c>
    </row>
    <row r="153" spans="2:2" x14ac:dyDescent="0.3">
      <c r="B153" t="str">
        <f>IF(A153="", "", COUNTIF($A$3:A153, A153))</f>
        <v/>
      </c>
    </row>
    <row r="154" spans="2:2" x14ac:dyDescent="0.3">
      <c r="B154" t="str">
        <f>IF(A154="", "", COUNTIF($A$3:A154, A154))</f>
        <v/>
      </c>
    </row>
    <row r="155" spans="2:2" x14ac:dyDescent="0.3">
      <c r="B155" t="str">
        <f>IF(A155="", "", COUNTIF($A$3:A155, A155))</f>
        <v/>
      </c>
    </row>
    <row r="156" spans="2:2" x14ac:dyDescent="0.3">
      <c r="B156" t="str">
        <f>IF(A156="", "", COUNTIF($A$3:A156, A156))</f>
        <v/>
      </c>
    </row>
    <row r="157" spans="2:2" x14ac:dyDescent="0.3">
      <c r="B157" t="str">
        <f>IF(A157="", "", COUNTIF($A$3:A157, A157))</f>
        <v/>
      </c>
    </row>
    <row r="158" spans="2:2" x14ac:dyDescent="0.3">
      <c r="B158" t="str">
        <f>IF(A158="", "", COUNTIF($A$3:A158, A158))</f>
        <v/>
      </c>
    </row>
    <row r="159" spans="2:2" x14ac:dyDescent="0.3">
      <c r="B159" t="str">
        <f>IF(A159="", "", COUNTIF($A$3:A159, A159))</f>
        <v/>
      </c>
    </row>
    <row r="160" spans="2:2" x14ac:dyDescent="0.3">
      <c r="B160" t="str">
        <f>IF(A160="", "", COUNTIF($A$3:A160, A160))</f>
        <v/>
      </c>
    </row>
    <row r="161" spans="2:2" x14ac:dyDescent="0.3">
      <c r="B161" t="str">
        <f>IF(A161="", "", COUNTIF($A$3:A161, A161))</f>
        <v/>
      </c>
    </row>
    <row r="162" spans="2:2" x14ac:dyDescent="0.3">
      <c r="B162" t="str">
        <f>IF(A162="", "", COUNTIF($A$3:A162, A162))</f>
        <v/>
      </c>
    </row>
    <row r="163" spans="2:2" x14ac:dyDescent="0.3">
      <c r="B163" t="str">
        <f>IF(A163="", "", COUNTIF($A$3:A163, A163))</f>
        <v/>
      </c>
    </row>
    <row r="164" spans="2:2" x14ac:dyDescent="0.3">
      <c r="B164" t="str">
        <f>IF(A164="", "", COUNTIF($A$3:A164, A164))</f>
        <v/>
      </c>
    </row>
    <row r="165" spans="2:2" x14ac:dyDescent="0.3">
      <c r="B165" t="str">
        <f>IF(A165="", "", COUNTIF($A$3:A165, A165))</f>
        <v/>
      </c>
    </row>
    <row r="166" spans="2:2" x14ac:dyDescent="0.3">
      <c r="B166" t="str">
        <f>IF(A166="", "", COUNTIF($A$3:A166, A166))</f>
        <v/>
      </c>
    </row>
    <row r="167" spans="2:2" x14ac:dyDescent="0.3">
      <c r="B167" t="str">
        <f>IF(A167="", "", COUNTIF($A$3:A167, A167))</f>
        <v/>
      </c>
    </row>
    <row r="168" spans="2:2" x14ac:dyDescent="0.3">
      <c r="B168" t="str">
        <f>IF(A168="", "", COUNTIF($A$3:A168, A168))</f>
        <v/>
      </c>
    </row>
    <row r="169" spans="2:2" x14ac:dyDescent="0.3">
      <c r="B169" t="str">
        <f>IF(A169="", "", COUNTIF($A$3:A169, A169))</f>
        <v/>
      </c>
    </row>
    <row r="170" spans="2:2" x14ac:dyDescent="0.3">
      <c r="B170" t="str">
        <f>IF(A170="", "", COUNTIF($A$3:A170, A170))</f>
        <v/>
      </c>
    </row>
    <row r="171" spans="2:2" x14ac:dyDescent="0.3">
      <c r="B171" t="str">
        <f>IF(A171="", "", COUNTIF($A$3:A171, A171))</f>
        <v/>
      </c>
    </row>
    <row r="172" spans="2:2" x14ac:dyDescent="0.3">
      <c r="B172" t="str">
        <f>IF(A172="", "", COUNTIF($A$3:A172, A172))</f>
        <v/>
      </c>
    </row>
    <row r="173" spans="2:2" x14ac:dyDescent="0.3">
      <c r="B173" t="str">
        <f>IF(A173="", "", COUNTIF($A$3:A173, A173))</f>
        <v/>
      </c>
    </row>
    <row r="174" spans="2:2" x14ac:dyDescent="0.3">
      <c r="B174" t="str">
        <f>IF(A174="", "", COUNTIF($A$3:A174, A174))</f>
        <v/>
      </c>
    </row>
    <row r="175" spans="2:2" x14ac:dyDescent="0.3">
      <c r="B175" t="str">
        <f>IF(A175="", "", COUNTIF($A$3:A175, A175))</f>
        <v/>
      </c>
    </row>
    <row r="176" spans="2:2" x14ac:dyDescent="0.3">
      <c r="B176" t="str">
        <f>IF(A176="", "", COUNTIF($A$3:A176, A176))</f>
        <v/>
      </c>
    </row>
    <row r="177" spans="2:2" x14ac:dyDescent="0.3">
      <c r="B177" t="str">
        <f>IF(A177="", "", COUNTIF($A$3:A177, A177))</f>
        <v/>
      </c>
    </row>
    <row r="178" spans="2:2" x14ac:dyDescent="0.3">
      <c r="B178" t="str">
        <f>IF(A178="", "", COUNTIF($A$3:A178, A178))</f>
        <v/>
      </c>
    </row>
    <row r="179" spans="2:2" x14ac:dyDescent="0.3">
      <c r="B179" t="str">
        <f>IF(A179="", "", COUNTIF($A$3:A179, A179))</f>
        <v/>
      </c>
    </row>
    <row r="180" spans="2:2" x14ac:dyDescent="0.3">
      <c r="B180" t="str">
        <f>IF(A180="", "", COUNTIF($A$3:A180, A180))</f>
        <v/>
      </c>
    </row>
    <row r="181" spans="2:2" x14ac:dyDescent="0.3">
      <c r="B181" t="str">
        <f>IF(A181="", "", COUNTIF($A$3:A181, A181))</f>
        <v/>
      </c>
    </row>
    <row r="182" spans="2:2" x14ac:dyDescent="0.3">
      <c r="B182" t="str">
        <f>IF(A182="", "", COUNTIF($A$3:A182, A182))</f>
        <v/>
      </c>
    </row>
    <row r="183" spans="2:2" x14ac:dyDescent="0.3">
      <c r="B183" t="str">
        <f>IF(A183="", "", COUNTIF($A$3:A183, A183))</f>
        <v/>
      </c>
    </row>
    <row r="184" spans="2:2" x14ac:dyDescent="0.3">
      <c r="B184" t="str">
        <f>IF(A184="", "", COUNTIF($A$3:A184, A184))</f>
        <v/>
      </c>
    </row>
    <row r="185" spans="2:2" x14ac:dyDescent="0.3">
      <c r="B185" t="str">
        <f>IF(A185="", "", COUNTIF($A$3:A185, A185))</f>
        <v/>
      </c>
    </row>
    <row r="186" spans="2:2" x14ac:dyDescent="0.3">
      <c r="B186" t="str">
        <f>IF(A186="", "", COUNTIF($A$3:A186, A186))</f>
        <v/>
      </c>
    </row>
    <row r="187" spans="2:2" x14ac:dyDescent="0.3">
      <c r="B187" t="str">
        <f>IF(A187="", "", COUNTIF($A$3:A187, A187))</f>
        <v/>
      </c>
    </row>
    <row r="188" spans="2:2" x14ac:dyDescent="0.3">
      <c r="B188" t="str">
        <f>IF(A188="", "", COUNTIF($A$3:A188, A188))</f>
        <v/>
      </c>
    </row>
    <row r="189" spans="2:2" x14ac:dyDescent="0.3">
      <c r="B189" t="str">
        <f>IF(A189="", "", COUNTIF($A$3:A189, A189))</f>
        <v/>
      </c>
    </row>
    <row r="190" spans="2:2" x14ac:dyDescent="0.3">
      <c r="B190" t="str">
        <f>IF(A190="", "", COUNTIF($A$3:A190, A190))</f>
        <v/>
      </c>
    </row>
    <row r="191" spans="2:2" x14ac:dyDescent="0.3">
      <c r="B191" t="str">
        <f>IF(A191="", "", COUNTIF($A$3:A191, A191))</f>
        <v/>
      </c>
    </row>
    <row r="192" spans="2:2" x14ac:dyDescent="0.3">
      <c r="B192" t="str">
        <f>IF(A192="", "", COUNTIF($A$3:A192, A192))</f>
        <v/>
      </c>
    </row>
    <row r="193" spans="2:2" x14ac:dyDescent="0.3">
      <c r="B193" t="str">
        <f>IF(A193="", "", COUNTIF($A$3:A193, A193))</f>
        <v/>
      </c>
    </row>
    <row r="194" spans="2:2" x14ac:dyDescent="0.3">
      <c r="B194" t="str">
        <f>IF(A194="", "", COUNTIF($A$3:A194, A194))</f>
        <v/>
      </c>
    </row>
    <row r="195" spans="2:2" x14ac:dyDescent="0.3">
      <c r="B195" t="str">
        <f>IF(A195="", "", COUNTIF($A$3:A195, A195))</f>
        <v/>
      </c>
    </row>
    <row r="196" spans="2:2" x14ac:dyDescent="0.3">
      <c r="B196" t="str">
        <f>IF(A196="", "", COUNTIF($A$3:A196, A196))</f>
        <v/>
      </c>
    </row>
    <row r="197" spans="2:2" x14ac:dyDescent="0.3">
      <c r="B197" t="str">
        <f>IF(A197="", "", COUNTIF($A$3:A197, A197))</f>
        <v/>
      </c>
    </row>
    <row r="198" spans="2:2" x14ac:dyDescent="0.3">
      <c r="B198" t="str">
        <f>IF(A198="", "", COUNTIF($A$3:A198, A198))</f>
        <v/>
      </c>
    </row>
    <row r="199" spans="2:2" x14ac:dyDescent="0.3">
      <c r="B199" t="str">
        <f>IF(A199="", "", COUNTIF($A$3:A199, A199))</f>
        <v/>
      </c>
    </row>
    <row r="200" spans="2:2" x14ac:dyDescent="0.3">
      <c r="B200" t="str">
        <f>IF(A200="", "", COUNTIF($A$3:A200, A200))</f>
        <v/>
      </c>
    </row>
    <row r="201" spans="2:2" x14ac:dyDescent="0.3">
      <c r="B201" t="str">
        <f>IF(A201="", "", COUNTIF($A$3:A201, A201))</f>
        <v/>
      </c>
    </row>
    <row r="202" spans="2:2" x14ac:dyDescent="0.3">
      <c r="B202" t="str">
        <f>IF(A202="", "", COUNTIF($A$3:A202, A202))</f>
        <v/>
      </c>
    </row>
    <row r="203" spans="2:2" x14ac:dyDescent="0.3">
      <c r="B203" t="str">
        <f>IF(A203="", "", COUNTIF($A$3:A203, A203))</f>
        <v/>
      </c>
    </row>
    <row r="204" spans="2:2" x14ac:dyDescent="0.3">
      <c r="B204" t="str">
        <f>IF(A204="", "", COUNTIF($A$3:A204, A204))</f>
        <v/>
      </c>
    </row>
    <row r="205" spans="2:2" x14ac:dyDescent="0.3">
      <c r="B205" t="str">
        <f>IF(A205="", "", COUNTIF($A$3:A205, A205))</f>
        <v/>
      </c>
    </row>
    <row r="206" spans="2:2" x14ac:dyDescent="0.3">
      <c r="B206" t="str">
        <f>IF(A206="", "", COUNTIF($A$3:A206, A206))</f>
        <v/>
      </c>
    </row>
    <row r="207" spans="2:2" x14ac:dyDescent="0.3">
      <c r="B207" t="str">
        <f>IF(A207="", "", COUNTIF($A$3:A207, A207))</f>
        <v/>
      </c>
    </row>
    <row r="208" spans="2:2" x14ac:dyDescent="0.3">
      <c r="B208" t="str">
        <f>IF(A208="", "", COUNTIF($A$3:A208, A208))</f>
        <v/>
      </c>
    </row>
    <row r="209" spans="2:2" x14ac:dyDescent="0.3">
      <c r="B209" t="str">
        <f>IF(A209="", "", COUNTIF($A$3:A209, A209))</f>
        <v/>
      </c>
    </row>
    <row r="210" spans="2:2" x14ac:dyDescent="0.3">
      <c r="B210" t="str">
        <f>IF(A210="", "", COUNTIF($A$3:A210, A210))</f>
        <v/>
      </c>
    </row>
    <row r="211" spans="2:2" x14ac:dyDescent="0.3">
      <c r="B211" t="str">
        <f>IF(A211="", "", COUNTIF($A$3:A211, A211))</f>
        <v/>
      </c>
    </row>
    <row r="212" spans="2:2" x14ac:dyDescent="0.3">
      <c r="B212" t="str">
        <f>IF(A212="", "", COUNTIF($A$3:A212, A212))</f>
        <v/>
      </c>
    </row>
    <row r="213" spans="2:2" x14ac:dyDescent="0.3">
      <c r="B213" t="str">
        <f>IF(A213="", "", COUNTIF($A$3:A213, A213))</f>
        <v/>
      </c>
    </row>
    <row r="214" spans="2:2" x14ac:dyDescent="0.3">
      <c r="B214" t="str">
        <f>IF(A214="", "", COUNTIF($A$3:A214, A214))</f>
        <v/>
      </c>
    </row>
    <row r="215" spans="2:2" x14ac:dyDescent="0.3">
      <c r="B215" t="str">
        <f>IF(A215="", "", COUNTIF($A$3:A215, A215))</f>
        <v/>
      </c>
    </row>
    <row r="216" spans="2:2" x14ac:dyDescent="0.3">
      <c r="B216" t="str">
        <f>IF(A216="", "", COUNTIF($A$3:A216, A216))</f>
        <v/>
      </c>
    </row>
    <row r="217" spans="2:2" x14ac:dyDescent="0.3">
      <c r="B217" t="str">
        <f>IF(A217="", "", COUNTIF($A$3:A217, A217))</f>
        <v/>
      </c>
    </row>
    <row r="218" spans="2:2" x14ac:dyDescent="0.3">
      <c r="B218" t="str">
        <f>IF(A218="", "", COUNTIF($A$3:A218, A218))</f>
        <v/>
      </c>
    </row>
    <row r="219" spans="2:2" x14ac:dyDescent="0.3">
      <c r="B219" t="str">
        <f>IF(A219="", "", COUNTIF($A$3:A219, A219))</f>
        <v/>
      </c>
    </row>
    <row r="220" spans="2:2" x14ac:dyDescent="0.3">
      <c r="B220" t="str">
        <f>IF(A220="", "", COUNTIF($A$3:A220, A220))</f>
        <v/>
      </c>
    </row>
    <row r="221" spans="2:2" x14ac:dyDescent="0.3">
      <c r="B221" t="str">
        <f>IF(A221="", "", COUNTIF($A$3:A221, A221))</f>
        <v/>
      </c>
    </row>
    <row r="222" spans="2:2" x14ac:dyDescent="0.3">
      <c r="B222" t="str">
        <f>IF(A222="", "", COUNTIF($A$3:A222, A222))</f>
        <v/>
      </c>
    </row>
    <row r="223" spans="2:2" x14ac:dyDescent="0.3">
      <c r="B223" t="str">
        <f>IF(A223="", "", COUNTIF($A$3:A223, A223))</f>
        <v/>
      </c>
    </row>
    <row r="224" spans="2:2" x14ac:dyDescent="0.3">
      <c r="B224" t="str">
        <f>IF(A224="", "", COUNTIF($A$3:A224, A224))</f>
        <v/>
      </c>
    </row>
    <row r="225" spans="2:2" x14ac:dyDescent="0.3">
      <c r="B225" t="str">
        <f>IF(A225="", "", COUNTIF($A$3:A225, A225))</f>
        <v/>
      </c>
    </row>
    <row r="226" spans="2:2" x14ac:dyDescent="0.3">
      <c r="B226" t="str">
        <f>IF(A226="", "", COUNTIF($A$3:A226, A226))</f>
        <v/>
      </c>
    </row>
    <row r="227" spans="2:2" x14ac:dyDescent="0.3">
      <c r="B227" t="str">
        <f>IF(A227="", "", COUNTIF($A$3:A227, A227))</f>
        <v/>
      </c>
    </row>
    <row r="228" spans="2:2" x14ac:dyDescent="0.3">
      <c r="B228" t="str">
        <f>IF(A228="", "", COUNTIF($A$3:A228, A228))</f>
        <v/>
      </c>
    </row>
    <row r="229" spans="2:2" x14ac:dyDescent="0.3">
      <c r="B229" t="str">
        <f>IF(A229="", "", COUNTIF($A$3:A229, A229))</f>
        <v/>
      </c>
    </row>
    <row r="230" spans="2:2" x14ac:dyDescent="0.3">
      <c r="B230" t="str">
        <f>IF(A230="", "", COUNTIF($A$3:A230, A230))</f>
        <v/>
      </c>
    </row>
    <row r="231" spans="2:2" x14ac:dyDescent="0.3">
      <c r="B231" t="str">
        <f>IF(A231="", "", COUNTIF($A$3:A231, A231))</f>
        <v/>
      </c>
    </row>
    <row r="232" spans="2:2" x14ac:dyDescent="0.3">
      <c r="B232" t="str">
        <f>IF(A232="", "", COUNTIF($A$3:A232, A232))</f>
        <v/>
      </c>
    </row>
    <row r="233" spans="2:2" x14ac:dyDescent="0.3">
      <c r="B233" t="str">
        <f>IF(A233="", "", COUNTIF($A$3:A233, A233))</f>
        <v/>
      </c>
    </row>
    <row r="234" spans="2:2" x14ac:dyDescent="0.3">
      <c r="B234" t="str">
        <f>IF(A234="", "", COUNTIF($A$3:A234, A234))</f>
        <v/>
      </c>
    </row>
    <row r="235" spans="2:2" x14ac:dyDescent="0.3">
      <c r="B235" t="str">
        <f>IF(A235="", "", COUNTIF($A$3:A235, A235))</f>
        <v/>
      </c>
    </row>
    <row r="236" spans="2:2" x14ac:dyDescent="0.3">
      <c r="B236" t="str">
        <f>IF(A236="", "", COUNTIF($A$3:A236, A236))</f>
        <v/>
      </c>
    </row>
    <row r="237" spans="2:2" x14ac:dyDescent="0.3">
      <c r="B237" t="str">
        <f>IF(A237="", "", COUNTIF($A$3:A237, A237))</f>
        <v/>
      </c>
    </row>
    <row r="238" spans="2:2" x14ac:dyDescent="0.3">
      <c r="B238" t="str">
        <f>IF(A238="", "", COUNTIF($A$3:A238, A238))</f>
        <v/>
      </c>
    </row>
    <row r="239" spans="2:2" x14ac:dyDescent="0.3">
      <c r="B239" t="str">
        <f>IF(A239="", "", COUNTIF($A$3:A239, A239))</f>
        <v/>
      </c>
    </row>
    <row r="240" spans="2:2" x14ac:dyDescent="0.3">
      <c r="B240" t="str">
        <f>IF(A240="", "", COUNTIF($A$3:A240, A240))</f>
        <v/>
      </c>
    </row>
    <row r="241" spans="2:2" x14ac:dyDescent="0.3">
      <c r="B241" t="str">
        <f>IF(A241="", "", COUNTIF($A$3:A241, A241))</f>
        <v/>
      </c>
    </row>
    <row r="242" spans="2:2" x14ac:dyDescent="0.3">
      <c r="B242" t="str">
        <f>IF(A242="", "", COUNTIF($A$3:A242, A242))</f>
        <v/>
      </c>
    </row>
    <row r="243" spans="2:2" x14ac:dyDescent="0.3">
      <c r="B243" t="str">
        <f>IF(A243="", "", COUNTIF($A$3:A243, A243))</f>
        <v/>
      </c>
    </row>
    <row r="244" spans="2:2" x14ac:dyDescent="0.3">
      <c r="B244" t="str">
        <f>IF(A244="", "", COUNTIF($A$3:A244, A244))</f>
        <v/>
      </c>
    </row>
    <row r="245" spans="2:2" x14ac:dyDescent="0.3">
      <c r="B245" t="str">
        <f>IF(A245="", "", COUNTIF($A$3:A245, A245))</f>
        <v/>
      </c>
    </row>
    <row r="246" spans="2:2" x14ac:dyDescent="0.3">
      <c r="B246" t="str">
        <f>IF(A246="", "", COUNTIF($A$3:A246, A246))</f>
        <v/>
      </c>
    </row>
    <row r="247" spans="2:2" x14ac:dyDescent="0.3">
      <c r="B247" t="str">
        <f>IF(A247="", "", COUNTIF($A$3:A247, A247))</f>
        <v/>
      </c>
    </row>
    <row r="248" spans="2:2" x14ac:dyDescent="0.3">
      <c r="B248" t="str">
        <f>IF(A248="", "", COUNTIF($A$3:A248, A248))</f>
        <v/>
      </c>
    </row>
    <row r="249" spans="2:2" x14ac:dyDescent="0.3">
      <c r="B249" t="str">
        <f>IF(A249="", "", COUNTIF($A$3:A249, A249))</f>
        <v/>
      </c>
    </row>
    <row r="250" spans="2:2" x14ac:dyDescent="0.3">
      <c r="B250" t="str">
        <f>IF(A250="", "", COUNTIF($A$3:A250, A250))</f>
        <v/>
      </c>
    </row>
    <row r="251" spans="2:2" x14ac:dyDescent="0.3">
      <c r="B251" t="str">
        <f>IF(A251="", "", COUNTIF($A$3:A251, A251))</f>
        <v/>
      </c>
    </row>
    <row r="252" spans="2:2" x14ac:dyDescent="0.3">
      <c r="B252" t="str">
        <f>IF(A252="", "", COUNTIF($A$3:A252, A252))</f>
        <v/>
      </c>
    </row>
    <row r="253" spans="2:2" x14ac:dyDescent="0.3">
      <c r="B253" t="str">
        <f>IF(A253="", "", COUNTIF($A$3:A253, A253))</f>
        <v/>
      </c>
    </row>
    <row r="254" spans="2:2" x14ac:dyDescent="0.3">
      <c r="B254" t="str">
        <f>IF(A254="", "", COUNTIF($A$3:A254, A254))</f>
        <v/>
      </c>
    </row>
    <row r="255" spans="2:2" x14ac:dyDescent="0.3">
      <c r="B255" t="str">
        <f>IF(A255="", "", COUNTIF($A$3:A255, A255))</f>
        <v/>
      </c>
    </row>
    <row r="256" spans="2:2" x14ac:dyDescent="0.3">
      <c r="B256" t="str">
        <f>IF(A256="", "", COUNTIF($A$3:A256, A256))</f>
        <v/>
      </c>
    </row>
    <row r="257" spans="2:2" x14ac:dyDescent="0.3">
      <c r="B257" t="str">
        <f>IF(A257="", "", COUNTIF($A$3:A257, A257))</f>
        <v/>
      </c>
    </row>
    <row r="258" spans="2:2" x14ac:dyDescent="0.3">
      <c r="B258" t="str">
        <f>IF(A258="", "", COUNTIF($A$3:A258, A258))</f>
        <v/>
      </c>
    </row>
    <row r="259" spans="2:2" x14ac:dyDescent="0.3">
      <c r="B259" t="str">
        <f>IF(A259="", "", COUNTIF($A$3:A259, A259))</f>
        <v/>
      </c>
    </row>
    <row r="260" spans="2:2" x14ac:dyDescent="0.3">
      <c r="B260" t="str">
        <f>IF(A260="", "", COUNTIF($A$3:A260, A260))</f>
        <v/>
      </c>
    </row>
    <row r="261" spans="2:2" x14ac:dyDescent="0.3">
      <c r="B261" t="str">
        <f>IF(A261="", "", COUNTIF($A$3:A261, A261))</f>
        <v/>
      </c>
    </row>
    <row r="262" spans="2:2" x14ac:dyDescent="0.3">
      <c r="B262" t="str">
        <f>IF(A262="", "", COUNTIF($A$3:A262, A262))</f>
        <v/>
      </c>
    </row>
    <row r="263" spans="2:2" x14ac:dyDescent="0.3">
      <c r="B263" t="str">
        <f>IF(A263="", "", COUNTIF($A$3:A263, A263))</f>
        <v/>
      </c>
    </row>
    <row r="264" spans="2:2" x14ac:dyDescent="0.3">
      <c r="B264" t="str">
        <f>IF(A264="", "", COUNTIF($A$3:A264, A264))</f>
        <v/>
      </c>
    </row>
    <row r="265" spans="2:2" x14ac:dyDescent="0.3">
      <c r="B265" t="str">
        <f>IF(A265="", "", COUNTIF($A$3:A265, A265))</f>
        <v/>
      </c>
    </row>
    <row r="266" spans="2:2" x14ac:dyDescent="0.3">
      <c r="B266" t="str">
        <f>IF(A266="", "", COUNTIF($A$3:A266, A266))</f>
        <v/>
      </c>
    </row>
    <row r="267" spans="2:2" x14ac:dyDescent="0.3">
      <c r="B267" t="str">
        <f>IF(A267="", "", COUNTIF($A$3:A267, A267))</f>
        <v/>
      </c>
    </row>
    <row r="268" spans="2:2" x14ac:dyDescent="0.3">
      <c r="B268" t="str">
        <f>IF(A268="", "", COUNTIF($A$3:A268, A268))</f>
        <v/>
      </c>
    </row>
    <row r="269" spans="2:2" x14ac:dyDescent="0.3">
      <c r="B269" t="str">
        <f>IF(A269="", "", COUNTIF($A$3:A269, A269))</f>
        <v/>
      </c>
    </row>
    <row r="270" spans="2:2" x14ac:dyDescent="0.3">
      <c r="B270" t="str">
        <f>IF(A270="", "", COUNTIF($A$3:A270, A270))</f>
        <v/>
      </c>
    </row>
    <row r="271" spans="2:2" x14ac:dyDescent="0.3">
      <c r="B271" t="str">
        <f>IF(A271="", "", COUNTIF($A$3:A271, A271))</f>
        <v/>
      </c>
    </row>
    <row r="272" spans="2:2" x14ac:dyDescent="0.3">
      <c r="B272" t="str">
        <f>IF(A272="", "", COUNTIF($A$3:A272, A272))</f>
        <v/>
      </c>
    </row>
    <row r="273" spans="2:2" x14ac:dyDescent="0.3">
      <c r="B273" t="str">
        <f>IF(A273="", "", COUNTIF($A$3:A273, A273))</f>
        <v/>
      </c>
    </row>
    <row r="274" spans="2:2" x14ac:dyDescent="0.3">
      <c r="B274" t="str">
        <f>IF(A274="", "", COUNTIF($A$3:A274, A274))</f>
        <v/>
      </c>
    </row>
    <row r="275" spans="2:2" x14ac:dyDescent="0.3">
      <c r="B275" t="str">
        <f>IF(A275="", "", COUNTIF($A$3:A275, A275))</f>
        <v/>
      </c>
    </row>
    <row r="276" spans="2:2" x14ac:dyDescent="0.3">
      <c r="B276" t="str">
        <f>IF(A276="", "", COUNTIF($A$3:A276, A276))</f>
        <v/>
      </c>
    </row>
    <row r="277" spans="2:2" x14ac:dyDescent="0.3">
      <c r="B277" t="str">
        <f>IF(A277="", "", COUNTIF($A$3:A277, A277))</f>
        <v/>
      </c>
    </row>
    <row r="278" spans="2:2" x14ac:dyDescent="0.3">
      <c r="B278" t="str">
        <f>IF(A278="", "", COUNTIF($A$3:A278, A278))</f>
        <v/>
      </c>
    </row>
    <row r="279" spans="2:2" x14ac:dyDescent="0.3">
      <c r="B279" t="str">
        <f>IF(A279="", "", COUNTIF($A$3:A279, A279))</f>
        <v/>
      </c>
    </row>
    <row r="280" spans="2:2" x14ac:dyDescent="0.3">
      <c r="B280" t="str">
        <f>IF(A280="", "", COUNTIF($A$3:A280, A280))</f>
        <v/>
      </c>
    </row>
    <row r="281" spans="2:2" x14ac:dyDescent="0.3">
      <c r="B281" t="str">
        <f>IF(A281="", "", COUNTIF($A$3:A281, A281))</f>
        <v/>
      </c>
    </row>
    <row r="282" spans="2:2" x14ac:dyDescent="0.3">
      <c r="B282" t="str">
        <f>IF(A282="", "", COUNTIF($A$3:A282, A282))</f>
        <v/>
      </c>
    </row>
    <row r="283" spans="2:2" x14ac:dyDescent="0.3">
      <c r="B283" t="str">
        <f>IF(A283="", "", COUNTIF($A$3:A283, A283))</f>
        <v/>
      </c>
    </row>
    <row r="284" spans="2:2" x14ac:dyDescent="0.3">
      <c r="B284" t="str">
        <f>IF(A284="", "", COUNTIF($A$3:A284, A284))</f>
        <v/>
      </c>
    </row>
    <row r="285" spans="2:2" x14ac:dyDescent="0.3">
      <c r="B285" t="str">
        <f>IF(A285="", "", COUNTIF($A$3:A285, A285))</f>
        <v/>
      </c>
    </row>
    <row r="286" spans="2:2" x14ac:dyDescent="0.3">
      <c r="B286" t="str">
        <f>IF(A286="", "", COUNTIF($A$3:A286, A286))</f>
        <v/>
      </c>
    </row>
    <row r="287" spans="2:2" x14ac:dyDescent="0.3">
      <c r="B287" t="str">
        <f>IF(A287="", "", COUNTIF($A$3:A287, A287))</f>
        <v/>
      </c>
    </row>
    <row r="288" spans="2:2" x14ac:dyDescent="0.3">
      <c r="B288" t="str">
        <f>IF(A288="", "", COUNTIF($A$3:A288, A288))</f>
        <v/>
      </c>
    </row>
    <row r="289" spans="2:2" x14ac:dyDescent="0.3">
      <c r="B289" t="str">
        <f>IF(A289="", "", COUNTIF($A$3:A289, A289))</f>
        <v/>
      </c>
    </row>
    <row r="290" spans="2:2" x14ac:dyDescent="0.3">
      <c r="B290" t="str">
        <f>IF(A290="", "", COUNTIF($A$3:A290, A290))</f>
        <v/>
      </c>
    </row>
    <row r="291" spans="2:2" x14ac:dyDescent="0.3">
      <c r="B291" t="str">
        <f>IF(A291="", "", COUNTIF($A$3:A291, A291))</f>
        <v/>
      </c>
    </row>
    <row r="292" spans="2:2" x14ac:dyDescent="0.3">
      <c r="B292" t="str">
        <f>IF(A292="", "", COUNTIF($A$3:A292, A292))</f>
        <v/>
      </c>
    </row>
    <row r="293" spans="2:2" x14ac:dyDescent="0.3">
      <c r="B293" t="str">
        <f>IF(A293="", "", COUNTIF($A$3:A293, A293))</f>
        <v/>
      </c>
    </row>
    <row r="294" spans="2:2" x14ac:dyDescent="0.3">
      <c r="B294" t="str">
        <f>IF(A294="", "", COUNTIF($A$3:A294, A294))</f>
        <v/>
      </c>
    </row>
    <row r="295" spans="2:2" x14ac:dyDescent="0.3">
      <c r="B295" t="str">
        <f>IF(A295="", "", COUNTIF($A$3:A295, A295))</f>
        <v/>
      </c>
    </row>
    <row r="296" spans="2:2" x14ac:dyDescent="0.3">
      <c r="B296" t="str">
        <f>IF(A296="", "", COUNTIF($A$3:A296, A296))</f>
        <v/>
      </c>
    </row>
    <row r="297" spans="2:2" x14ac:dyDescent="0.3">
      <c r="B297" t="str">
        <f>IF(A297="", "", COUNTIF($A$3:A297, A297))</f>
        <v/>
      </c>
    </row>
    <row r="298" spans="2:2" x14ac:dyDescent="0.3">
      <c r="B298" t="str">
        <f>IF(A298="", "", COUNTIF($A$3:A298, A298))</f>
        <v/>
      </c>
    </row>
    <row r="299" spans="2:2" x14ac:dyDescent="0.3">
      <c r="B299" t="str">
        <f>IF(A299="", "", COUNTIF($A$3:A299, A299))</f>
        <v/>
      </c>
    </row>
    <row r="300" spans="2:2" x14ac:dyDescent="0.3">
      <c r="B300" t="str">
        <f>IF(A300="", "", COUNTIF($A$3:A300, A300))</f>
        <v/>
      </c>
    </row>
    <row r="301" spans="2:2" x14ac:dyDescent="0.3">
      <c r="B301" t="str">
        <f>IF(A301="", "", COUNTIF($A$3:A301, A301))</f>
        <v/>
      </c>
    </row>
    <row r="302" spans="2:2" x14ac:dyDescent="0.3">
      <c r="B302" t="str">
        <f>IF(A302="", "", COUNTIF($A$3:A302, A302))</f>
        <v/>
      </c>
    </row>
    <row r="303" spans="2:2" x14ac:dyDescent="0.3">
      <c r="B303" t="str">
        <f>IF(A303="", "", COUNTIF($A$3:A303, A303))</f>
        <v/>
      </c>
    </row>
    <row r="304" spans="2:2" x14ac:dyDescent="0.3">
      <c r="B304" t="str">
        <f>IF(A304="", "", COUNTIF($A$3:A304, A304))</f>
        <v/>
      </c>
    </row>
    <row r="305" spans="2:2" x14ac:dyDescent="0.3">
      <c r="B305" t="str">
        <f>IF(A305="", "", COUNTIF($A$3:A305, A305))</f>
        <v/>
      </c>
    </row>
    <row r="306" spans="2:2" x14ac:dyDescent="0.3">
      <c r="B306" t="str">
        <f>IF(A306="", "", COUNTIF($A$3:A306, A306))</f>
        <v/>
      </c>
    </row>
    <row r="307" spans="2:2" x14ac:dyDescent="0.3">
      <c r="B307" t="str">
        <f>IF(A307="", "", COUNTIF($A$3:A307, A307))</f>
        <v/>
      </c>
    </row>
    <row r="308" spans="2:2" x14ac:dyDescent="0.3">
      <c r="B308" t="str">
        <f>IF(A308="", "", COUNTIF($A$3:A308, A308))</f>
        <v/>
      </c>
    </row>
    <row r="309" spans="2:2" x14ac:dyDescent="0.3">
      <c r="B309" t="str">
        <f>IF(A309="", "", COUNTIF($A$3:A309, A309))</f>
        <v/>
      </c>
    </row>
    <row r="310" spans="2:2" x14ac:dyDescent="0.3">
      <c r="B310" t="str">
        <f>IF(A310="", "", COUNTIF($A$3:A310, A310))</f>
        <v/>
      </c>
    </row>
    <row r="311" spans="2:2" x14ac:dyDescent="0.3">
      <c r="B311" t="str">
        <f>IF(A311="", "", COUNTIF($A$3:A311, A311))</f>
        <v/>
      </c>
    </row>
    <row r="312" spans="2:2" x14ac:dyDescent="0.3">
      <c r="B312" t="str">
        <f>IF(A312="", "", COUNTIF($A$3:A312, A312))</f>
        <v/>
      </c>
    </row>
    <row r="313" spans="2:2" x14ac:dyDescent="0.3">
      <c r="B313" t="str">
        <f>IF(A313="", "", COUNTIF($A$3:A313, A313))</f>
        <v/>
      </c>
    </row>
    <row r="314" spans="2:2" x14ac:dyDescent="0.3">
      <c r="B314" t="str">
        <f>IF(A314="", "", COUNTIF($A$3:A314, A314))</f>
        <v/>
      </c>
    </row>
    <row r="315" spans="2:2" x14ac:dyDescent="0.3">
      <c r="B315" t="str">
        <f>IF(A315="", "", COUNTIF($A$3:A315, A315))</f>
        <v/>
      </c>
    </row>
    <row r="316" spans="2:2" x14ac:dyDescent="0.3">
      <c r="B316" t="str">
        <f>IF(A316="", "", COUNTIF($A$3:A316, A316))</f>
        <v/>
      </c>
    </row>
    <row r="317" spans="2:2" x14ac:dyDescent="0.3">
      <c r="B317" t="str">
        <f>IF(A317="", "", COUNTIF($A$3:A317, A317))</f>
        <v/>
      </c>
    </row>
    <row r="318" spans="2:2" x14ac:dyDescent="0.3">
      <c r="B318" t="str">
        <f>IF(A318="", "", COUNTIF($A$3:A318, A318))</f>
        <v/>
      </c>
    </row>
    <row r="319" spans="2:2" x14ac:dyDescent="0.3">
      <c r="B319" t="str">
        <f>IF(A319="", "", COUNTIF($A$3:A319, A319))</f>
        <v/>
      </c>
    </row>
    <row r="320" spans="2:2" x14ac:dyDescent="0.3">
      <c r="B320" t="str">
        <f>IF(A320="", "", COUNTIF($A$3:A320, A320))</f>
        <v/>
      </c>
    </row>
    <row r="321" spans="2:2" x14ac:dyDescent="0.3">
      <c r="B321" t="str">
        <f>IF(A321="", "", COUNTIF($A$3:A321, A321))</f>
        <v/>
      </c>
    </row>
    <row r="322" spans="2:2" x14ac:dyDescent="0.3">
      <c r="B322" t="str">
        <f>IF(A322="", "", COUNTIF($A$3:A322, A322))</f>
        <v/>
      </c>
    </row>
    <row r="323" spans="2:2" x14ac:dyDescent="0.3">
      <c r="B323" t="str">
        <f>IF(A323="", "", COUNTIF($A$3:A323, A323))</f>
        <v/>
      </c>
    </row>
    <row r="324" spans="2:2" x14ac:dyDescent="0.3">
      <c r="B324" t="str">
        <f>IF(A324="", "", COUNTIF($A$3:A324, A324))</f>
        <v/>
      </c>
    </row>
    <row r="325" spans="2:2" x14ac:dyDescent="0.3">
      <c r="B325" t="str">
        <f>IF(A325="", "", COUNTIF($A$3:A325, A325))</f>
        <v/>
      </c>
    </row>
    <row r="326" spans="2:2" x14ac:dyDescent="0.3">
      <c r="B326" t="str">
        <f>IF(A326="", "", COUNTIF($A$3:A326, A326))</f>
        <v/>
      </c>
    </row>
    <row r="327" spans="2:2" x14ac:dyDescent="0.3">
      <c r="B327" t="str">
        <f>IF(A327="", "", COUNTIF($A$3:A327, A327))</f>
        <v/>
      </c>
    </row>
    <row r="328" spans="2:2" x14ac:dyDescent="0.3">
      <c r="B328" t="str">
        <f>IF(A328="", "", COUNTIF($A$3:A328, A328))</f>
        <v/>
      </c>
    </row>
    <row r="329" spans="2:2" x14ac:dyDescent="0.3">
      <c r="B329" t="str">
        <f>IF(A329="", "", COUNTIF($A$3:A329, A329))</f>
        <v/>
      </c>
    </row>
    <row r="330" spans="2:2" x14ac:dyDescent="0.3">
      <c r="B330" t="str">
        <f>IF(A330="", "", COUNTIF($A$3:A330, A330))</f>
        <v/>
      </c>
    </row>
    <row r="331" spans="2:2" x14ac:dyDescent="0.3">
      <c r="B331" t="str">
        <f>IF(A331="", "", COUNTIF($A$3:A331, A331))</f>
        <v/>
      </c>
    </row>
    <row r="332" spans="2:2" x14ac:dyDescent="0.3">
      <c r="B332" t="str">
        <f>IF(A332="", "", COUNTIF($A$3:A332, A332))</f>
        <v/>
      </c>
    </row>
    <row r="333" spans="2:2" x14ac:dyDescent="0.3">
      <c r="B333" t="str">
        <f>IF(A333="", "", COUNTIF($A$3:A333, A333))</f>
        <v/>
      </c>
    </row>
    <row r="334" spans="2:2" x14ac:dyDescent="0.3">
      <c r="B334" t="str">
        <f>IF(A334="", "", COUNTIF($A$3:A334, A334))</f>
        <v/>
      </c>
    </row>
    <row r="335" spans="2:2" x14ac:dyDescent="0.3">
      <c r="B335" t="str">
        <f>IF(A335="", "", COUNTIF($A$3:A335, A335))</f>
        <v/>
      </c>
    </row>
    <row r="336" spans="2:2" x14ac:dyDescent="0.3">
      <c r="B336" t="str">
        <f>IF(A336="", "", COUNTIF($A$3:A336, A336))</f>
        <v/>
      </c>
    </row>
    <row r="337" spans="2:2" x14ac:dyDescent="0.3">
      <c r="B337" t="str">
        <f>IF(A337="", "", COUNTIF($A$3:A337, A337))</f>
        <v/>
      </c>
    </row>
    <row r="338" spans="2:2" x14ac:dyDescent="0.3">
      <c r="B338" t="str">
        <f>IF(A338="", "", COUNTIF($A$3:A338, A338))</f>
        <v/>
      </c>
    </row>
    <row r="339" spans="2:2" x14ac:dyDescent="0.3">
      <c r="B339" t="str">
        <f>IF(A339="", "", COUNTIF($A$3:A339, A339))</f>
        <v/>
      </c>
    </row>
    <row r="340" spans="2:2" x14ac:dyDescent="0.3">
      <c r="B340" t="str">
        <f>IF(A340="", "", COUNTIF($A$3:A340, A340))</f>
        <v/>
      </c>
    </row>
    <row r="341" spans="2:2" x14ac:dyDescent="0.3">
      <c r="B341" t="str">
        <f>IF(A341="", "", COUNTIF($A$3:A341, A341))</f>
        <v/>
      </c>
    </row>
    <row r="342" spans="2:2" x14ac:dyDescent="0.3">
      <c r="B342" t="str">
        <f>IF(A342="", "", COUNTIF($A$3:A342, A342))</f>
        <v/>
      </c>
    </row>
    <row r="343" spans="2:2" x14ac:dyDescent="0.3">
      <c r="B343" t="str">
        <f>IF(A343="", "", COUNTIF($A$3:A343, A343))</f>
        <v/>
      </c>
    </row>
    <row r="344" spans="2:2" x14ac:dyDescent="0.3">
      <c r="B344" t="str">
        <f>IF(A344="", "", COUNTIF($A$3:A344, A344))</f>
        <v/>
      </c>
    </row>
    <row r="345" spans="2:2" x14ac:dyDescent="0.3">
      <c r="B345" t="str">
        <f>IF(A345="", "", COUNTIF($A$3:A345, A345))</f>
        <v/>
      </c>
    </row>
    <row r="346" spans="2:2" x14ac:dyDescent="0.3">
      <c r="B346" t="str">
        <f>IF(A346="", "", COUNTIF($A$3:A346, A346))</f>
        <v/>
      </c>
    </row>
    <row r="347" spans="2:2" x14ac:dyDescent="0.3">
      <c r="B347" t="str">
        <f>IF(A347="", "", COUNTIF($A$3:A347, A347))</f>
        <v/>
      </c>
    </row>
    <row r="348" spans="2:2" x14ac:dyDescent="0.3">
      <c r="B348" t="str">
        <f>IF(A348="", "", COUNTIF($A$3:A348, A348))</f>
        <v/>
      </c>
    </row>
    <row r="349" spans="2:2" x14ac:dyDescent="0.3">
      <c r="B349" t="str">
        <f>IF(A349="", "", COUNTIF($A$3:A349, A349))</f>
        <v/>
      </c>
    </row>
    <row r="350" spans="2:2" x14ac:dyDescent="0.3">
      <c r="B350" t="str">
        <f>IF(A350="", "", COUNTIF($A$3:A350, A350))</f>
        <v/>
      </c>
    </row>
    <row r="351" spans="2:2" x14ac:dyDescent="0.3">
      <c r="B351" t="str">
        <f>IF(A351="", "", COUNTIF($A$3:A351, A351))</f>
        <v/>
      </c>
    </row>
    <row r="352" spans="2:2" x14ac:dyDescent="0.3">
      <c r="B352" t="str">
        <f>IF(A352="", "", COUNTIF($A$3:A352, A352))</f>
        <v/>
      </c>
    </row>
    <row r="353" spans="2:2" x14ac:dyDescent="0.3">
      <c r="B353" t="str">
        <f>IF(A353="", "", COUNTIF($A$3:A353, A353))</f>
        <v/>
      </c>
    </row>
    <row r="354" spans="2:2" x14ac:dyDescent="0.3">
      <c r="B354" t="str">
        <f>IF(A354="", "", COUNTIF($A$3:A354, A354))</f>
        <v/>
      </c>
    </row>
    <row r="355" spans="2:2" x14ac:dyDescent="0.3">
      <c r="B355" t="str">
        <f>IF(A355="", "", COUNTIF($A$3:A355, A355))</f>
        <v/>
      </c>
    </row>
    <row r="356" spans="2:2" x14ac:dyDescent="0.3">
      <c r="B356" t="str">
        <f>IF(A356="", "", COUNTIF($A$3:A356, A356))</f>
        <v/>
      </c>
    </row>
    <row r="357" spans="2:2" x14ac:dyDescent="0.3">
      <c r="B357" t="str">
        <f>IF(A357="", "", COUNTIF($A$3:A357, A357))</f>
        <v/>
      </c>
    </row>
    <row r="358" spans="2:2" x14ac:dyDescent="0.3">
      <c r="B358" t="str">
        <f>IF(A358="", "", COUNTIF($A$3:A358, A358))</f>
        <v/>
      </c>
    </row>
    <row r="359" spans="2:2" x14ac:dyDescent="0.3">
      <c r="B359" t="str">
        <f>IF(A359="", "", COUNTIF($A$3:A359, A359))</f>
        <v/>
      </c>
    </row>
    <row r="360" spans="2:2" x14ac:dyDescent="0.3">
      <c r="B360" t="str">
        <f>IF(A360="", "", COUNTIF($A$3:A360, A360))</f>
        <v/>
      </c>
    </row>
    <row r="361" spans="2:2" x14ac:dyDescent="0.3">
      <c r="B361" t="str">
        <f>IF(A361="", "", COUNTIF($A$3:A361, A361))</f>
        <v/>
      </c>
    </row>
    <row r="362" spans="2:2" x14ac:dyDescent="0.3">
      <c r="B362" t="str">
        <f>IF(A362="", "", COUNTIF($A$3:A362, A362))</f>
        <v/>
      </c>
    </row>
    <row r="363" spans="2:2" x14ac:dyDescent="0.3">
      <c r="B363" t="str">
        <f>IF(A363="", "", COUNTIF($A$3:A363, A363))</f>
        <v/>
      </c>
    </row>
    <row r="364" spans="2:2" x14ac:dyDescent="0.3">
      <c r="B364" t="str">
        <f>IF(A364="", "", COUNTIF($A$3:A364, A364))</f>
        <v/>
      </c>
    </row>
    <row r="365" spans="2:2" x14ac:dyDescent="0.3">
      <c r="B365" t="str">
        <f>IF(A365="", "", COUNTIF($A$3:A365, A365))</f>
        <v/>
      </c>
    </row>
    <row r="366" spans="2:2" x14ac:dyDescent="0.3">
      <c r="B366" t="str">
        <f>IF(A366="", "", COUNTIF($A$3:A366, A366))</f>
        <v/>
      </c>
    </row>
    <row r="367" spans="2:2" x14ac:dyDescent="0.3">
      <c r="B367" t="str">
        <f>IF(A367="", "", COUNTIF($A$3:A367, A367))</f>
        <v/>
      </c>
    </row>
    <row r="368" spans="2:2" x14ac:dyDescent="0.3">
      <c r="B368" t="str">
        <f>IF(A368="", "", COUNTIF($A$3:A368, A368))</f>
        <v/>
      </c>
    </row>
    <row r="369" spans="2:2" x14ac:dyDescent="0.3">
      <c r="B369" t="str">
        <f>IF(A369="", "", COUNTIF($A$3:A369, A369))</f>
        <v/>
      </c>
    </row>
    <row r="370" spans="2:2" x14ac:dyDescent="0.3">
      <c r="B370" t="str">
        <f>IF(A370="", "", COUNTIF($A$3:A370, A370))</f>
        <v/>
      </c>
    </row>
    <row r="371" spans="2:2" x14ac:dyDescent="0.3">
      <c r="B371" t="str">
        <f>IF(A371="", "", COUNTIF($A$3:A371, A371))</f>
        <v/>
      </c>
    </row>
    <row r="372" spans="2:2" x14ac:dyDescent="0.3">
      <c r="B372" t="str">
        <f>IF(A372="", "", COUNTIF($A$3:A372, A372))</f>
        <v/>
      </c>
    </row>
    <row r="373" spans="2:2" x14ac:dyDescent="0.3">
      <c r="B373" t="str">
        <f>IF(A373="", "", COUNTIF($A$3:A373, A373))</f>
        <v/>
      </c>
    </row>
    <row r="374" spans="2:2" x14ac:dyDescent="0.3">
      <c r="B374" t="str">
        <f>IF(A374="", "", COUNTIF($A$3:A374, A374))</f>
        <v/>
      </c>
    </row>
    <row r="375" spans="2:2" x14ac:dyDescent="0.3">
      <c r="B375" t="str">
        <f>IF(A375="", "", COUNTIF($A$3:A375, A375))</f>
        <v/>
      </c>
    </row>
    <row r="376" spans="2:2" x14ac:dyDescent="0.3">
      <c r="B376" t="str">
        <f>IF(A376="", "", COUNTIF($A$3:A376, A376))</f>
        <v/>
      </c>
    </row>
    <row r="377" spans="2:2" x14ac:dyDescent="0.3">
      <c r="B377" t="str">
        <f>IF(A377="", "", COUNTIF($A$3:A377, A377))</f>
        <v/>
      </c>
    </row>
    <row r="378" spans="2:2" x14ac:dyDescent="0.3">
      <c r="B378" t="str">
        <f>IF(A378="", "", COUNTIF($A$3:A378, A378))</f>
        <v/>
      </c>
    </row>
    <row r="379" spans="2:2" x14ac:dyDescent="0.3">
      <c r="B379" t="str">
        <f>IF(A379="", "", COUNTIF($A$3:A379, A379))</f>
        <v/>
      </c>
    </row>
    <row r="380" spans="2:2" x14ac:dyDescent="0.3">
      <c r="B380" t="str">
        <f>IF(A380="", "", COUNTIF($A$3:A380, A380))</f>
        <v/>
      </c>
    </row>
    <row r="381" spans="2:2" x14ac:dyDescent="0.3">
      <c r="B381" t="str">
        <f>IF(A381="", "", COUNTIF($A$3:A381, A381))</f>
        <v/>
      </c>
    </row>
    <row r="382" spans="2:2" x14ac:dyDescent="0.3">
      <c r="B382" t="str">
        <f>IF(A382="", "", COUNTIF($A$3:A382, A382))</f>
        <v/>
      </c>
    </row>
    <row r="383" spans="2:2" x14ac:dyDescent="0.3">
      <c r="B383" t="str">
        <f>IF(A383="", "", COUNTIF($A$3:A383, A383))</f>
        <v/>
      </c>
    </row>
    <row r="384" spans="2:2" x14ac:dyDescent="0.3">
      <c r="B384" t="str">
        <f>IF(A384="", "", COUNTIF($A$3:A384, A384))</f>
        <v/>
      </c>
    </row>
    <row r="385" spans="2:2" x14ac:dyDescent="0.3">
      <c r="B385" t="str">
        <f>IF(A385="", "", COUNTIF($A$3:A385, A385))</f>
        <v/>
      </c>
    </row>
    <row r="386" spans="2:2" x14ac:dyDescent="0.3">
      <c r="B386" t="str">
        <f>IF(A386="", "", COUNTIF($A$3:A386, A386))</f>
        <v/>
      </c>
    </row>
    <row r="387" spans="2:2" x14ac:dyDescent="0.3">
      <c r="B387" t="str">
        <f>IF(A387="", "", COUNTIF($A$3:A387, A387))</f>
        <v/>
      </c>
    </row>
    <row r="388" spans="2:2" x14ac:dyDescent="0.3">
      <c r="B388" t="str">
        <f>IF(A388="", "", COUNTIF($A$3:A388, A388))</f>
        <v/>
      </c>
    </row>
    <row r="389" spans="2:2" x14ac:dyDescent="0.3">
      <c r="B389" t="str">
        <f>IF(A389="", "", COUNTIF($A$3:A389, A389))</f>
        <v/>
      </c>
    </row>
    <row r="390" spans="2:2" x14ac:dyDescent="0.3">
      <c r="B390" t="str">
        <f>IF(A390="", "", COUNTIF($A$3:A390, A390))</f>
        <v/>
      </c>
    </row>
    <row r="391" spans="2:2" x14ac:dyDescent="0.3">
      <c r="B391" t="str">
        <f>IF(A391="", "", COUNTIF($A$3:A391, A391))</f>
        <v/>
      </c>
    </row>
    <row r="392" spans="2:2" x14ac:dyDescent="0.3">
      <c r="B392" t="str">
        <f>IF(A392="", "", COUNTIF($A$3:A392, A392))</f>
        <v/>
      </c>
    </row>
    <row r="393" spans="2:2" x14ac:dyDescent="0.3">
      <c r="B393" t="str">
        <f>IF(A393="", "", COUNTIF($A$3:A393, A393))</f>
        <v/>
      </c>
    </row>
    <row r="394" spans="2:2" x14ac:dyDescent="0.3">
      <c r="B394" t="str">
        <f>IF(A394="", "", COUNTIF($A$3:A394, A394))</f>
        <v/>
      </c>
    </row>
    <row r="395" spans="2:2" x14ac:dyDescent="0.3">
      <c r="B395" t="str">
        <f>IF(A395="", "", COUNTIF($A$3:A395, A395))</f>
        <v/>
      </c>
    </row>
    <row r="396" spans="2:2" x14ac:dyDescent="0.3">
      <c r="B396" t="str">
        <f>IF(A396="", "", COUNTIF($A$3:A396, A396))</f>
        <v/>
      </c>
    </row>
    <row r="397" spans="2:2" x14ac:dyDescent="0.3">
      <c r="B397" t="str">
        <f>IF(A397="", "", COUNTIF($A$3:A397, A397))</f>
        <v/>
      </c>
    </row>
    <row r="398" spans="2:2" x14ac:dyDescent="0.3">
      <c r="B398" t="str">
        <f>IF(A398="", "", COUNTIF($A$3:A398, A398))</f>
        <v/>
      </c>
    </row>
    <row r="399" spans="2:2" x14ac:dyDescent="0.3">
      <c r="B399" t="str">
        <f>IF(A399="", "", COUNTIF($A$3:A399, A399))</f>
        <v/>
      </c>
    </row>
    <row r="400" spans="2:2" x14ac:dyDescent="0.3">
      <c r="B400" t="str">
        <f>IF(A400="", "", COUNTIF($A$3:A400, A400))</f>
        <v/>
      </c>
    </row>
    <row r="401" spans="2:2" x14ac:dyDescent="0.3">
      <c r="B401" t="str">
        <f>IF(A401="", "", COUNTIF($A$3:A401, A401))</f>
        <v/>
      </c>
    </row>
    <row r="402" spans="2:2" x14ac:dyDescent="0.3">
      <c r="B402" t="str">
        <f>IF(A402="", "", COUNTIF($A$3:A402, A402))</f>
        <v/>
      </c>
    </row>
    <row r="403" spans="2:2" x14ac:dyDescent="0.3">
      <c r="B403" t="str">
        <f>IF(A403="", "", COUNTIF($A$3:A403, A403))</f>
        <v/>
      </c>
    </row>
    <row r="404" spans="2:2" x14ac:dyDescent="0.3">
      <c r="B404" t="str">
        <f>IF(A404="", "", COUNTIF($A$3:A404, A404))</f>
        <v/>
      </c>
    </row>
    <row r="405" spans="2:2" x14ac:dyDescent="0.3">
      <c r="B405" t="str">
        <f>IF(A405="", "", COUNTIF($A$3:A405, A405))</f>
        <v/>
      </c>
    </row>
    <row r="406" spans="2:2" x14ac:dyDescent="0.3">
      <c r="B406" t="str">
        <f>IF(A406="", "", COUNTIF($A$3:A406, A406))</f>
        <v/>
      </c>
    </row>
    <row r="407" spans="2:2" x14ac:dyDescent="0.3">
      <c r="B407" t="str">
        <f>IF(A407="", "", COUNTIF($A$3:A407, A407))</f>
        <v/>
      </c>
    </row>
    <row r="408" spans="2:2" x14ac:dyDescent="0.3">
      <c r="B408" t="str">
        <f>IF(A408="", "", COUNTIF($A$3:A408, A408))</f>
        <v/>
      </c>
    </row>
    <row r="409" spans="2:2" x14ac:dyDescent="0.3">
      <c r="B409" t="str">
        <f>IF(A409="", "", COUNTIF($A$3:A409, A409))</f>
        <v/>
      </c>
    </row>
    <row r="410" spans="2:2" x14ac:dyDescent="0.3">
      <c r="B410" t="str">
        <f>IF(A410="", "", COUNTIF($A$3:A410, A410))</f>
        <v/>
      </c>
    </row>
    <row r="411" spans="2:2" x14ac:dyDescent="0.3">
      <c r="B411" t="str">
        <f>IF(A411="", "", COUNTIF($A$3:A411, A411))</f>
        <v/>
      </c>
    </row>
    <row r="412" spans="2:2" x14ac:dyDescent="0.3">
      <c r="B412" t="str">
        <f>IF(A412="", "", COUNTIF($A$3:A412, A412))</f>
        <v/>
      </c>
    </row>
    <row r="413" spans="2:2" x14ac:dyDescent="0.3">
      <c r="B413" t="str">
        <f>IF(A413="", "", COUNTIF($A$3:A413, A413))</f>
        <v/>
      </c>
    </row>
    <row r="414" spans="2:2" x14ac:dyDescent="0.3">
      <c r="B414" t="str">
        <f>IF(A414="", "", COUNTIF($A$3:A414, A414))</f>
        <v/>
      </c>
    </row>
    <row r="415" spans="2:2" x14ac:dyDescent="0.3">
      <c r="B415" t="str">
        <f>IF(A415="", "", COUNTIF($A$3:A415, A415))</f>
        <v/>
      </c>
    </row>
    <row r="416" spans="2:2" x14ac:dyDescent="0.3">
      <c r="B416" t="str">
        <f>IF(A416="", "", COUNTIF($A$3:A416, A416))</f>
        <v/>
      </c>
    </row>
    <row r="417" spans="2:2" x14ac:dyDescent="0.3">
      <c r="B417" t="str">
        <f>IF(A417="", "", COUNTIF($A$3:A417, A417))</f>
        <v/>
      </c>
    </row>
    <row r="418" spans="2:2" x14ac:dyDescent="0.3">
      <c r="B418" t="str">
        <f>IF(A418="", "", COUNTIF($A$3:A418, A418))</f>
        <v/>
      </c>
    </row>
    <row r="419" spans="2:2" x14ac:dyDescent="0.3">
      <c r="B419" t="str">
        <f>IF(A419="", "", COUNTIF($A$3:A419, A419))</f>
        <v/>
      </c>
    </row>
    <row r="420" spans="2:2" x14ac:dyDescent="0.3">
      <c r="B420" t="str">
        <f>IF(A420="", "", COUNTIF($A$3:A420, A420))</f>
        <v/>
      </c>
    </row>
    <row r="421" spans="2:2" x14ac:dyDescent="0.3">
      <c r="B421" t="str">
        <f>IF(A421="", "", COUNTIF($A$3:A421, A421))</f>
        <v/>
      </c>
    </row>
    <row r="422" spans="2:2" x14ac:dyDescent="0.3">
      <c r="B422" t="str">
        <f>IF(A422="", "", COUNTIF($A$3:A422, A422))</f>
        <v/>
      </c>
    </row>
    <row r="423" spans="2:2" x14ac:dyDescent="0.3">
      <c r="B423" t="str">
        <f>IF(A423="", "", COUNTIF($A$3:A423, A423))</f>
        <v/>
      </c>
    </row>
    <row r="424" spans="2:2" x14ac:dyDescent="0.3">
      <c r="B424" t="str">
        <f>IF(A424="", "", COUNTIF($A$3:A424, A424))</f>
        <v/>
      </c>
    </row>
    <row r="425" spans="2:2" x14ac:dyDescent="0.3">
      <c r="B425" t="str">
        <f>IF(A425="", "", COUNTIF($A$3:A425, A425))</f>
        <v/>
      </c>
    </row>
    <row r="426" spans="2:2" x14ac:dyDescent="0.3">
      <c r="B426" t="str">
        <f>IF(A426="", "", COUNTIF($A$3:A426, A426))</f>
        <v/>
      </c>
    </row>
    <row r="427" spans="2:2" x14ac:dyDescent="0.3">
      <c r="B427" t="str">
        <f>IF(A427="", "", COUNTIF($A$3:A427, A427))</f>
        <v/>
      </c>
    </row>
    <row r="428" spans="2:2" x14ac:dyDescent="0.3">
      <c r="B428" t="str">
        <f>IF(A428="", "", COUNTIF($A$3:A428, A428))</f>
        <v/>
      </c>
    </row>
    <row r="429" spans="2:2" x14ac:dyDescent="0.3">
      <c r="B429" t="str">
        <f>IF(A429="", "", COUNTIF($A$3:A429, A429))</f>
        <v/>
      </c>
    </row>
    <row r="430" spans="2:2" x14ac:dyDescent="0.3">
      <c r="B430" t="str">
        <f>IF(A430="", "", COUNTIF($A$3:A430, A430))</f>
        <v/>
      </c>
    </row>
    <row r="431" spans="2:2" x14ac:dyDescent="0.3">
      <c r="B431" t="str">
        <f>IF(A431="", "", COUNTIF($A$3:A431, A431))</f>
        <v/>
      </c>
    </row>
    <row r="432" spans="2:2" x14ac:dyDescent="0.3">
      <c r="B432" t="str">
        <f>IF(A432="", "", COUNTIF($A$3:A432, A432))</f>
        <v/>
      </c>
    </row>
    <row r="433" spans="2:2" x14ac:dyDescent="0.3">
      <c r="B433" t="str">
        <f>IF(A433="", "", COUNTIF($A$3:A433, A433))</f>
        <v/>
      </c>
    </row>
    <row r="434" spans="2:2" x14ac:dyDescent="0.3">
      <c r="B434" t="str">
        <f>IF(A434="", "", COUNTIF($A$3:A434, A434))</f>
        <v/>
      </c>
    </row>
    <row r="435" spans="2:2" x14ac:dyDescent="0.3">
      <c r="B435" t="str">
        <f>IF(A435="", "", COUNTIF($A$3:A435, A435))</f>
        <v/>
      </c>
    </row>
    <row r="436" spans="2:2" x14ac:dyDescent="0.3">
      <c r="B436" t="str">
        <f>IF(A436="", "", COUNTIF($A$3:A436, A436))</f>
        <v/>
      </c>
    </row>
    <row r="437" spans="2:2" x14ac:dyDescent="0.3">
      <c r="B437" t="str">
        <f>IF(A437="", "", COUNTIF($A$3:A437, A437))</f>
        <v/>
      </c>
    </row>
    <row r="438" spans="2:2" x14ac:dyDescent="0.3">
      <c r="B438" t="str">
        <f>IF(A438="", "", COUNTIF($A$3:A438, A438))</f>
        <v/>
      </c>
    </row>
    <row r="439" spans="2:2" x14ac:dyDescent="0.3">
      <c r="B439" t="str">
        <f>IF(A439="", "", COUNTIF($A$3:A439, A439))</f>
        <v/>
      </c>
    </row>
    <row r="440" spans="2:2" x14ac:dyDescent="0.3">
      <c r="B440" t="str">
        <f>IF(A440="", "", COUNTIF($A$3:A440, A440))</f>
        <v/>
      </c>
    </row>
    <row r="441" spans="2:2" x14ac:dyDescent="0.3">
      <c r="B441" t="str">
        <f>IF(A441="", "", COUNTIF($A$3:A441, A441))</f>
        <v/>
      </c>
    </row>
    <row r="442" spans="2:2" x14ac:dyDescent="0.3">
      <c r="B442" t="str">
        <f>IF(A442="", "", COUNTIF($A$3:A442, A442))</f>
        <v/>
      </c>
    </row>
    <row r="443" spans="2:2" x14ac:dyDescent="0.3">
      <c r="B443" t="str">
        <f>IF(A443="", "", COUNTIF($A$3:A443, A443))</f>
        <v/>
      </c>
    </row>
    <row r="444" spans="2:2" x14ac:dyDescent="0.3">
      <c r="B444" t="str">
        <f>IF(A444="", "", COUNTIF($A$3:A444, A444))</f>
        <v/>
      </c>
    </row>
    <row r="445" spans="2:2" x14ac:dyDescent="0.3">
      <c r="B445" t="str">
        <f>IF(A445="", "", COUNTIF($A$3:A445, A445))</f>
        <v/>
      </c>
    </row>
    <row r="446" spans="2:2" x14ac:dyDescent="0.3">
      <c r="B446" t="str">
        <f>IF(A446="", "", COUNTIF($A$3:A446, A446))</f>
        <v/>
      </c>
    </row>
    <row r="447" spans="2:2" x14ac:dyDescent="0.3">
      <c r="B447" t="str">
        <f>IF(A447="", "", COUNTIF($A$3:A447, A447))</f>
        <v/>
      </c>
    </row>
    <row r="448" spans="2:2" x14ac:dyDescent="0.3">
      <c r="B448" t="str">
        <f>IF(A448="", "", COUNTIF($A$3:A448, A448))</f>
        <v/>
      </c>
    </row>
    <row r="449" spans="2:2" x14ac:dyDescent="0.3">
      <c r="B449" t="str">
        <f>IF(A449="", "", COUNTIF($A$3:A449, A449))</f>
        <v/>
      </c>
    </row>
    <row r="450" spans="2:2" x14ac:dyDescent="0.3">
      <c r="B450" t="str">
        <f>IF(A450="", "", COUNTIF($A$3:A450, A450))</f>
        <v/>
      </c>
    </row>
    <row r="451" spans="2:2" x14ac:dyDescent="0.3">
      <c r="B451" t="str">
        <f>IF(A451="", "", COUNTIF($A$3:A451, A451))</f>
        <v/>
      </c>
    </row>
    <row r="452" spans="2:2" x14ac:dyDescent="0.3">
      <c r="B452" t="str">
        <f>IF(A452="", "", COUNTIF($A$3:A452, A452))</f>
        <v/>
      </c>
    </row>
    <row r="453" spans="2:2" x14ac:dyDescent="0.3">
      <c r="B453" t="str">
        <f>IF(A453="", "", COUNTIF($A$3:A453, A453))</f>
        <v/>
      </c>
    </row>
    <row r="454" spans="2:2" x14ac:dyDescent="0.3">
      <c r="B454" t="str">
        <f>IF(A454="", "", COUNTIF($A$3:A454, A454))</f>
        <v/>
      </c>
    </row>
    <row r="455" spans="2:2" x14ac:dyDescent="0.3">
      <c r="B455" t="str">
        <f>IF(A455="", "", COUNTIF($A$3:A455, A455))</f>
        <v/>
      </c>
    </row>
    <row r="456" spans="2:2" x14ac:dyDescent="0.3">
      <c r="B456" t="str">
        <f>IF(A456="", "", COUNTIF($A$3:A456, A456))</f>
        <v/>
      </c>
    </row>
    <row r="457" spans="2:2" x14ac:dyDescent="0.3">
      <c r="B457" t="str">
        <f>IF(A457="", "", COUNTIF($A$3:A457, A457))</f>
        <v/>
      </c>
    </row>
    <row r="458" spans="2:2" x14ac:dyDescent="0.3">
      <c r="B458" t="str">
        <f>IF(A458="", "", COUNTIF($A$3:A458, A458))</f>
        <v/>
      </c>
    </row>
    <row r="459" spans="2:2" x14ac:dyDescent="0.3">
      <c r="B459" t="str">
        <f>IF(A459="", "", COUNTIF($A$3:A459, A459))</f>
        <v/>
      </c>
    </row>
    <row r="460" spans="2:2" x14ac:dyDescent="0.3">
      <c r="B460" t="str">
        <f>IF(A460="", "", COUNTIF($A$3:A460, A460))</f>
        <v/>
      </c>
    </row>
    <row r="461" spans="2:2" x14ac:dyDescent="0.3">
      <c r="B461" t="str">
        <f>IF(A461="", "", COUNTIF($A$3:A461, A461))</f>
        <v/>
      </c>
    </row>
    <row r="462" spans="2:2" x14ac:dyDescent="0.3">
      <c r="B462" t="str">
        <f>IF(A462="", "", COUNTIF($A$3:A462, A462))</f>
        <v/>
      </c>
    </row>
    <row r="463" spans="2:2" x14ac:dyDescent="0.3">
      <c r="B463" t="str">
        <f>IF(A463="", "", COUNTIF($A$3:A463, A463))</f>
        <v/>
      </c>
    </row>
    <row r="464" spans="2:2" x14ac:dyDescent="0.3">
      <c r="B464" t="str">
        <f>IF(A464="", "", COUNTIF($A$3:A464, A464))</f>
        <v/>
      </c>
    </row>
    <row r="465" spans="2:2" x14ac:dyDescent="0.3">
      <c r="B465" t="str">
        <f>IF(A465="", "", COUNTIF($A$3:A465, A465))</f>
        <v/>
      </c>
    </row>
    <row r="466" spans="2:2" x14ac:dyDescent="0.3">
      <c r="B466" t="str">
        <f>IF(A466="", "", COUNTIF($A$3:A466, A466))</f>
        <v/>
      </c>
    </row>
    <row r="467" spans="2:2" x14ac:dyDescent="0.3">
      <c r="B467" t="str">
        <f>IF(A467="", "", COUNTIF($A$3:A467, A467))</f>
        <v/>
      </c>
    </row>
    <row r="468" spans="2:2" x14ac:dyDescent="0.3">
      <c r="B468" t="str">
        <f>IF(A468="", "", COUNTIF($A$3:A468, A468))</f>
        <v/>
      </c>
    </row>
    <row r="469" spans="2:2" x14ac:dyDescent="0.3">
      <c r="B469" t="str">
        <f>IF(A469="", "", COUNTIF($A$3:A469, A469))</f>
        <v/>
      </c>
    </row>
    <row r="470" spans="2:2" x14ac:dyDescent="0.3">
      <c r="B470" t="str">
        <f>IF(A470="", "", COUNTIF($A$3:A470, A470))</f>
        <v/>
      </c>
    </row>
    <row r="471" spans="2:2" x14ac:dyDescent="0.3">
      <c r="B471" t="str">
        <f>IF(A471="", "", COUNTIF($A$3:A471, A471))</f>
        <v/>
      </c>
    </row>
    <row r="472" spans="2:2" x14ac:dyDescent="0.3">
      <c r="B472" t="str">
        <f>IF(A472="", "", COUNTIF($A$3:A472, A472))</f>
        <v/>
      </c>
    </row>
    <row r="473" spans="2:2" x14ac:dyDescent="0.3">
      <c r="B473" t="str">
        <f>IF(A473="", "", COUNTIF($A$3:A473, A473))</f>
        <v/>
      </c>
    </row>
    <row r="474" spans="2:2" x14ac:dyDescent="0.3">
      <c r="B474" t="str">
        <f>IF(A474="", "", COUNTIF($A$3:A474, A474))</f>
        <v/>
      </c>
    </row>
    <row r="475" spans="2:2" x14ac:dyDescent="0.3">
      <c r="B475" t="str">
        <f>IF(A475="", "", COUNTIF($A$3:A475, A475))</f>
        <v/>
      </c>
    </row>
    <row r="476" spans="2:2" x14ac:dyDescent="0.3">
      <c r="B476" t="str">
        <f>IF(A476="", "", COUNTIF($A$3:A476, A476))</f>
        <v/>
      </c>
    </row>
    <row r="477" spans="2:2" x14ac:dyDescent="0.3">
      <c r="B477" t="str">
        <f>IF(A477="", "", COUNTIF($A$3:A477, A477))</f>
        <v/>
      </c>
    </row>
    <row r="478" spans="2:2" x14ac:dyDescent="0.3">
      <c r="B478" t="str">
        <f>IF(A478="", "", COUNTIF($A$3:A478, A478))</f>
        <v/>
      </c>
    </row>
    <row r="479" spans="2:2" x14ac:dyDescent="0.3">
      <c r="B479" t="str">
        <f>IF(A479="", "", COUNTIF($A$3:A479, A479))</f>
        <v/>
      </c>
    </row>
    <row r="480" spans="2:2" x14ac:dyDescent="0.3">
      <c r="B480" t="str">
        <f>IF(A480="", "", COUNTIF($A$3:A480, A480))</f>
        <v/>
      </c>
    </row>
    <row r="481" spans="2:2" x14ac:dyDescent="0.3">
      <c r="B481" t="str">
        <f>IF(A481="", "", COUNTIF($A$3:A481, A481))</f>
        <v/>
      </c>
    </row>
    <row r="482" spans="2:2" x14ac:dyDescent="0.3">
      <c r="B482" t="str">
        <f>IF(A482="", "", COUNTIF($A$3:A482, A482))</f>
        <v/>
      </c>
    </row>
    <row r="483" spans="2:2" x14ac:dyDescent="0.3">
      <c r="B483" t="str">
        <f>IF(A483="", "", COUNTIF($A$3:A483, A483))</f>
        <v/>
      </c>
    </row>
    <row r="484" spans="2:2" x14ac:dyDescent="0.3">
      <c r="B484" t="str">
        <f>IF(A484="", "", COUNTIF($A$3:A484, A484))</f>
        <v/>
      </c>
    </row>
    <row r="485" spans="2:2" x14ac:dyDescent="0.3">
      <c r="B485" t="str">
        <f>IF(A485="", "", COUNTIF($A$3:A485, A485))</f>
        <v/>
      </c>
    </row>
    <row r="486" spans="2:2" x14ac:dyDescent="0.3">
      <c r="B486" t="str">
        <f>IF(A486="", "", COUNTIF($A$3:A486, A486))</f>
        <v/>
      </c>
    </row>
    <row r="487" spans="2:2" x14ac:dyDescent="0.3">
      <c r="B487" t="str">
        <f>IF(A487="", "", COUNTIF($A$3:A487, A487))</f>
        <v/>
      </c>
    </row>
    <row r="488" spans="2:2" x14ac:dyDescent="0.3">
      <c r="B488" t="str">
        <f>IF(A488="", "", COUNTIF($A$3:A488, A488))</f>
        <v/>
      </c>
    </row>
    <row r="489" spans="2:2" x14ac:dyDescent="0.3">
      <c r="B489" t="str">
        <f>IF(A489="", "", COUNTIF($A$3:A489, A489))</f>
        <v/>
      </c>
    </row>
    <row r="490" spans="2:2" x14ac:dyDescent="0.3">
      <c r="B490" t="str">
        <f>IF(A490="", "", COUNTIF($A$3:A490, A490))</f>
        <v/>
      </c>
    </row>
    <row r="491" spans="2:2" x14ac:dyDescent="0.3">
      <c r="B491" t="str">
        <f>IF(A491="", "", COUNTIF($A$3:A491, A491))</f>
        <v/>
      </c>
    </row>
    <row r="492" spans="2:2" x14ac:dyDescent="0.3">
      <c r="B492" t="str">
        <f>IF(A492="", "", COUNTIF($A$3:A492, A492))</f>
        <v/>
      </c>
    </row>
    <row r="493" spans="2:2" x14ac:dyDescent="0.3">
      <c r="B493" t="str">
        <f>IF(A493="", "", COUNTIF($A$3:A493, A493))</f>
        <v/>
      </c>
    </row>
    <row r="494" spans="2:2" x14ac:dyDescent="0.3">
      <c r="B494" t="str">
        <f>IF(A494="", "", COUNTIF($A$3:A494, A494))</f>
        <v/>
      </c>
    </row>
    <row r="495" spans="2:2" x14ac:dyDescent="0.3">
      <c r="B495" t="str">
        <f>IF(A495="", "", COUNTIF($A$3:A495, A495))</f>
        <v/>
      </c>
    </row>
    <row r="496" spans="2:2" x14ac:dyDescent="0.3">
      <c r="B496" t="str">
        <f>IF(A496="", "", COUNTIF($A$3:A496, A496))</f>
        <v/>
      </c>
    </row>
    <row r="497" spans="2:2" x14ac:dyDescent="0.3">
      <c r="B497" t="str">
        <f>IF(A497="", "", COUNTIF($A$3:A497, A497))</f>
        <v/>
      </c>
    </row>
    <row r="498" spans="2:2" x14ac:dyDescent="0.3">
      <c r="B498" t="str">
        <f>IF(A498="", "", COUNTIF($A$3:A498, A498))</f>
        <v/>
      </c>
    </row>
    <row r="499" spans="2:2" x14ac:dyDescent="0.3">
      <c r="B499" t="str">
        <f>IF(A499="", "", COUNTIF($A$3:A499, A499))</f>
        <v/>
      </c>
    </row>
    <row r="500" spans="2:2" x14ac:dyDescent="0.3">
      <c r="B500" t="str">
        <f>IF(A500="", "", COUNTIF($A$3:A500, A500))</f>
        <v/>
      </c>
    </row>
    <row r="501" spans="2:2" x14ac:dyDescent="0.3">
      <c r="B501" t="str">
        <f>IF(A501="", "", COUNTIF($A$3:A501, A501))</f>
        <v/>
      </c>
    </row>
    <row r="502" spans="2:2" x14ac:dyDescent="0.3">
      <c r="B502" t="str">
        <f>IF(A502="", "", COUNTIF($A$3:A502, A502))</f>
        <v/>
      </c>
    </row>
    <row r="503" spans="2:2" x14ac:dyDescent="0.3">
      <c r="B503" t="str">
        <f>IF(A503="", "", COUNTIF($A$3:A503, A503))</f>
        <v/>
      </c>
    </row>
    <row r="504" spans="2:2" x14ac:dyDescent="0.3">
      <c r="B504" t="str">
        <f>IF(A504="", "", COUNTIF($A$3:A504, A504))</f>
        <v/>
      </c>
    </row>
    <row r="505" spans="2:2" x14ac:dyDescent="0.3">
      <c r="B505" t="str">
        <f>IF(A505="", "", COUNTIF($A$3:A505, A505))</f>
        <v/>
      </c>
    </row>
    <row r="506" spans="2:2" x14ac:dyDescent="0.3">
      <c r="B506" t="str">
        <f>IF(A506="", "", COUNTIF($A$3:A506, A506))</f>
        <v/>
      </c>
    </row>
    <row r="507" spans="2:2" x14ac:dyDescent="0.3">
      <c r="B507" t="str">
        <f>IF(A507="", "", COUNTIF($A$3:A507, A507))</f>
        <v/>
      </c>
    </row>
    <row r="508" spans="2:2" x14ac:dyDescent="0.3">
      <c r="B508" t="str">
        <f>IF(A508="", "", COUNTIF($A$3:A508, A508))</f>
        <v/>
      </c>
    </row>
    <row r="509" spans="2:2" x14ac:dyDescent="0.3">
      <c r="B509" t="str">
        <f>IF(A509="", "", COUNTIF($A$3:A509, A509))</f>
        <v/>
      </c>
    </row>
    <row r="510" spans="2:2" x14ac:dyDescent="0.3">
      <c r="B510" t="str">
        <f>IF(A510="", "", COUNTIF($A$3:A510, A510))</f>
        <v/>
      </c>
    </row>
    <row r="511" spans="2:2" x14ac:dyDescent="0.3">
      <c r="B511" t="str">
        <f>IF(A511="", "", COUNTIF($A$3:A511, A511))</f>
        <v/>
      </c>
    </row>
    <row r="512" spans="2:2" x14ac:dyDescent="0.3">
      <c r="B512" t="str">
        <f>IF(A512="", "", COUNTIF($A$3:A512, A512))</f>
        <v/>
      </c>
    </row>
    <row r="513" spans="2:2" x14ac:dyDescent="0.3">
      <c r="B513" t="str">
        <f>IF(A513="", "", COUNTIF($A$3:A513, A513))</f>
        <v/>
      </c>
    </row>
    <row r="514" spans="2:2" x14ac:dyDescent="0.3">
      <c r="B514" t="str">
        <f>IF(A514="", "", COUNTIF($A$3:A514, A514))</f>
        <v/>
      </c>
    </row>
    <row r="515" spans="2:2" x14ac:dyDescent="0.3">
      <c r="B515" t="str">
        <f>IF(A515="", "", COUNTIF($A$3:A515, A515))</f>
        <v/>
      </c>
    </row>
    <row r="516" spans="2:2" x14ac:dyDescent="0.3">
      <c r="B516" t="str">
        <f>IF(A516="", "", COUNTIF($A$3:A516, A516))</f>
        <v/>
      </c>
    </row>
    <row r="517" spans="2:2" x14ac:dyDescent="0.3">
      <c r="B517" t="str">
        <f>IF(A517="", "", COUNTIF($A$3:A517, A517))</f>
        <v/>
      </c>
    </row>
    <row r="518" spans="2:2" x14ac:dyDescent="0.3">
      <c r="B518" t="str">
        <f>IF(A518="", "", COUNTIF($A$3:A518, A518))</f>
        <v/>
      </c>
    </row>
    <row r="519" spans="2:2" x14ac:dyDescent="0.3">
      <c r="B519" t="str">
        <f>IF(A519="", "", COUNTIF($A$3:A519, A519))</f>
        <v/>
      </c>
    </row>
    <row r="520" spans="2:2" x14ac:dyDescent="0.3">
      <c r="B520" t="str">
        <f>IF(A520="", "", COUNTIF($A$3:A520, A520))</f>
        <v/>
      </c>
    </row>
    <row r="521" spans="2:2" x14ac:dyDescent="0.3">
      <c r="B521" t="str">
        <f>IF(A521="", "", COUNTIF($A$3:A521, A521))</f>
        <v/>
      </c>
    </row>
    <row r="522" spans="2:2" x14ac:dyDescent="0.3">
      <c r="B522" t="str">
        <f>IF(A522="", "", COUNTIF($A$3:A522, A522))</f>
        <v/>
      </c>
    </row>
    <row r="523" spans="2:2" x14ac:dyDescent="0.3">
      <c r="B523" t="str">
        <f>IF(A523="", "", COUNTIF($A$3:A523, A523))</f>
        <v/>
      </c>
    </row>
    <row r="524" spans="2:2" x14ac:dyDescent="0.3">
      <c r="B524" t="str">
        <f>IF(A524="", "", COUNTIF($A$3:A524, A524))</f>
        <v/>
      </c>
    </row>
    <row r="525" spans="2:2" x14ac:dyDescent="0.3">
      <c r="B525" t="str">
        <f>IF(A525="", "", COUNTIF($A$3:A525, A525))</f>
        <v/>
      </c>
    </row>
    <row r="526" spans="2:2" x14ac:dyDescent="0.3">
      <c r="B526" t="str">
        <f>IF(A526="", "", COUNTIF($A$3:A526, A526))</f>
        <v/>
      </c>
    </row>
    <row r="527" spans="2:2" x14ac:dyDescent="0.3">
      <c r="B527" t="str">
        <f>IF(A527="", "", COUNTIF($A$3:A527, A527))</f>
        <v/>
      </c>
    </row>
    <row r="528" spans="2:2" x14ac:dyDescent="0.3">
      <c r="B528" t="str">
        <f>IF(A528="", "", COUNTIF($A$3:A528, A528))</f>
        <v/>
      </c>
    </row>
    <row r="529" spans="2:2" x14ac:dyDescent="0.3">
      <c r="B529" t="str">
        <f>IF(A529="", "", COUNTIF($A$3:A529, A529))</f>
        <v/>
      </c>
    </row>
    <row r="530" spans="2:2" x14ac:dyDescent="0.3">
      <c r="B530" t="str">
        <f>IF(A530="", "", COUNTIF($A$3:A530, A530))</f>
        <v/>
      </c>
    </row>
    <row r="531" spans="2:2" x14ac:dyDescent="0.3">
      <c r="B531" t="str">
        <f>IF(A531="", "", COUNTIF($A$3:A531, A531))</f>
        <v/>
      </c>
    </row>
    <row r="532" spans="2:2" x14ac:dyDescent="0.3">
      <c r="B532" t="str">
        <f>IF(A532="", "", COUNTIF($A$3:A532, A532))</f>
        <v/>
      </c>
    </row>
    <row r="533" spans="2:2" x14ac:dyDescent="0.3">
      <c r="B533" t="str">
        <f>IF(A533="", "", COUNTIF($A$3:A533, A533))</f>
        <v/>
      </c>
    </row>
    <row r="534" spans="2:2" x14ac:dyDescent="0.3">
      <c r="B534" t="str">
        <f>IF(A534="", "", COUNTIF($A$3:A534, A534))</f>
        <v/>
      </c>
    </row>
    <row r="535" spans="2:2" x14ac:dyDescent="0.3">
      <c r="B535" t="str">
        <f>IF(A535="", "", COUNTIF($A$3:A535, A535))</f>
        <v/>
      </c>
    </row>
    <row r="536" spans="2:2" x14ac:dyDescent="0.3">
      <c r="B536" t="str">
        <f>IF(A536="", "", COUNTIF($A$3:A536, A536))</f>
        <v/>
      </c>
    </row>
    <row r="537" spans="2:2" x14ac:dyDescent="0.3">
      <c r="B537" t="str">
        <f>IF(A537="", "", COUNTIF($A$3:A537, A537))</f>
        <v/>
      </c>
    </row>
    <row r="538" spans="2:2" x14ac:dyDescent="0.3">
      <c r="B538" t="str">
        <f>IF(A538="", "", COUNTIF($A$3:A538, A538))</f>
        <v/>
      </c>
    </row>
    <row r="539" spans="2:2" x14ac:dyDescent="0.3">
      <c r="B539" t="str">
        <f>IF(A539="", "", COUNTIF($A$3:A539, A539))</f>
        <v/>
      </c>
    </row>
    <row r="540" spans="2:2" x14ac:dyDescent="0.3">
      <c r="B540" t="str">
        <f>IF(A540="", "", COUNTIF($A$3:A540, A540))</f>
        <v/>
      </c>
    </row>
    <row r="541" spans="2:2" x14ac:dyDescent="0.3">
      <c r="B541" t="str">
        <f>IF(A541="", "", COUNTIF($A$3:A541, A541))</f>
        <v/>
      </c>
    </row>
    <row r="542" spans="2:2" x14ac:dyDescent="0.3">
      <c r="B542" t="str">
        <f>IF(A542="", "", COUNTIF($A$3:A542, A542))</f>
        <v/>
      </c>
    </row>
    <row r="543" spans="2:2" x14ac:dyDescent="0.3">
      <c r="B543" t="str">
        <f>IF(A543="", "", COUNTIF($A$3:A543, A543))</f>
        <v/>
      </c>
    </row>
    <row r="544" spans="2:2" x14ac:dyDescent="0.3">
      <c r="B544" t="str">
        <f>IF(A544="", "", COUNTIF($A$3:A544, A544))</f>
        <v/>
      </c>
    </row>
    <row r="545" spans="2:2" x14ac:dyDescent="0.3">
      <c r="B545" t="str">
        <f>IF(A545="", "", COUNTIF($A$3:A545, A545))</f>
        <v/>
      </c>
    </row>
    <row r="546" spans="2:2" x14ac:dyDescent="0.3">
      <c r="B546" t="str">
        <f>IF(A546="", "", COUNTIF($A$3:A546, A546))</f>
        <v/>
      </c>
    </row>
    <row r="547" spans="2:2" x14ac:dyDescent="0.3">
      <c r="B547" t="str">
        <f>IF(A547="", "", COUNTIF($A$3:A547, A547))</f>
        <v/>
      </c>
    </row>
    <row r="548" spans="2:2" x14ac:dyDescent="0.3">
      <c r="B548" t="str">
        <f>IF(A548="", "", COUNTIF($A$3:A548, A548))</f>
        <v/>
      </c>
    </row>
    <row r="549" spans="2:2" x14ac:dyDescent="0.3">
      <c r="B549" t="str">
        <f>IF(A549="", "", COUNTIF($A$3:A549, A549))</f>
        <v/>
      </c>
    </row>
    <row r="550" spans="2:2" x14ac:dyDescent="0.3">
      <c r="B550" t="str">
        <f>IF(A550="", "", COUNTIF($A$3:A550, A550))</f>
        <v/>
      </c>
    </row>
    <row r="551" spans="2:2" x14ac:dyDescent="0.3">
      <c r="B551" t="str">
        <f>IF(A551="", "", COUNTIF($A$3:A551, A551))</f>
        <v/>
      </c>
    </row>
    <row r="552" spans="2:2" x14ac:dyDescent="0.3">
      <c r="B552" t="str">
        <f>IF(A552="", "", COUNTIF($A$3:A552, A552))</f>
        <v/>
      </c>
    </row>
    <row r="553" spans="2:2" x14ac:dyDescent="0.3">
      <c r="B553" t="str">
        <f>IF(A553="", "", COUNTIF($A$3:A553, A553))</f>
        <v/>
      </c>
    </row>
    <row r="554" spans="2:2" x14ac:dyDescent="0.3">
      <c r="B554" t="str">
        <f>IF(A554="", "", COUNTIF($A$3:A554, A554))</f>
        <v/>
      </c>
    </row>
    <row r="555" spans="2:2" x14ac:dyDescent="0.3">
      <c r="B555" t="str">
        <f>IF(A555="", "", COUNTIF($A$3:A555, A555))</f>
        <v/>
      </c>
    </row>
    <row r="556" spans="2:2" x14ac:dyDescent="0.3">
      <c r="B556" t="str">
        <f>IF(A556="", "", COUNTIF($A$3:A556, A556))</f>
        <v/>
      </c>
    </row>
    <row r="557" spans="2:2" x14ac:dyDescent="0.3">
      <c r="B557" t="str">
        <f>IF(A557="", "", COUNTIF($A$3:A557, A557))</f>
        <v/>
      </c>
    </row>
    <row r="558" spans="2:2" x14ac:dyDescent="0.3">
      <c r="B558" t="str">
        <f>IF(A558="", "", COUNTIF($A$3:A558, A558))</f>
        <v/>
      </c>
    </row>
    <row r="559" spans="2:2" x14ac:dyDescent="0.3">
      <c r="B559" t="str">
        <f>IF(A559="", "", COUNTIF($A$3:A559, A559))</f>
        <v/>
      </c>
    </row>
    <row r="560" spans="2:2" x14ac:dyDescent="0.3">
      <c r="B560" t="str">
        <f>IF(A560="", "", COUNTIF($A$3:A560, A560))</f>
        <v/>
      </c>
    </row>
    <row r="561" spans="2:2" x14ac:dyDescent="0.3">
      <c r="B561" t="str">
        <f>IF(A561="", "", COUNTIF($A$3:A561, A561))</f>
        <v/>
      </c>
    </row>
    <row r="562" spans="2:2" x14ac:dyDescent="0.3">
      <c r="B562" t="str">
        <f>IF(A562="", "", COUNTIF($A$3:A562, A562))</f>
        <v/>
      </c>
    </row>
    <row r="563" spans="2:2" x14ac:dyDescent="0.3">
      <c r="B563" t="str">
        <f>IF(A563="", "", COUNTIF($A$3:A563, A563))</f>
        <v/>
      </c>
    </row>
    <row r="564" spans="2:2" x14ac:dyDescent="0.3">
      <c r="B564" t="str">
        <f>IF(A564="", "", COUNTIF($A$3:A564, A564))</f>
        <v/>
      </c>
    </row>
    <row r="565" spans="2:2" x14ac:dyDescent="0.3">
      <c r="B565" t="str">
        <f>IF(A565="", "", COUNTIF($A$3:A565, A565))</f>
        <v/>
      </c>
    </row>
    <row r="566" spans="2:2" x14ac:dyDescent="0.3">
      <c r="B566" t="str">
        <f>IF(A566="", "", COUNTIF($A$3:A566, A566))</f>
        <v/>
      </c>
    </row>
    <row r="567" spans="2:2" x14ac:dyDescent="0.3">
      <c r="B567" t="str">
        <f>IF(A567="", "", COUNTIF($A$3:A567, A567))</f>
        <v/>
      </c>
    </row>
    <row r="568" spans="2:2" x14ac:dyDescent="0.3">
      <c r="B568" t="str">
        <f>IF(A568="", "", COUNTIF($A$3:A568, A568))</f>
        <v/>
      </c>
    </row>
    <row r="569" spans="2:2" x14ac:dyDescent="0.3">
      <c r="B569" t="str">
        <f>IF(A569="", "", COUNTIF($A$3:A569, A569))</f>
        <v/>
      </c>
    </row>
    <row r="570" spans="2:2" x14ac:dyDescent="0.3">
      <c r="B570" t="str">
        <f>IF(A570="", "", COUNTIF($A$3:A570, A570))</f>
        <v/>
      </c>
    </row>
    <row r="571" spans="2:2" x14ac:dyDescent="0.3">
      <c r="B571" t="str">
        <f>IF(A571="", "", COUNTIF($A$3:A571, A571))</f>
        <v/>
      </c>
    </row>
    <row r="572" spans="2:2" x14ac:dyDescent="0.3">
      <c r="B572" t="str">
        <f>IF(A572="", "", COUNTIF($A$3:A572, A572))</f>
        <v/>
      </c>
    </row>
    <row r="573" spans="2:2" x14ac:dyDescent="0.3">
      <c r="B573" t="str">
        <f>IF(A573="", "", COUNTIF($A$3:A573, A573))</f>
        <v/>
      </c>
    </row>
    <row r="574" spans="2:2" x14ac:dyDescent="0.3">
      <c r="B574" t="str">
        <f>IF(A574="", "", COUNTIF($A$3:A574, A574))</f>
        <v/>
      </c>
    </row>
    <row r="575" spans="2:2" x14ac:dyDescent="0.3">
      <c r="B575" t="str">
        <f>IF(A575="", "", COUNTIF($A$3:A575, A575))</f>
        <v/>
      </c>
    </row>
    <row r="576" spans="2:2" x14ac:dyDescent="0.3">
      <c r="B576" t="str">
        <f>IF(A576="", "", COUNTIF($A$3:A576, A576))</f>
        <v/>
      </c>
    </row>
    <row r="577" spans="2:2" x14ac:dyDescent="0.3">
      <c r="B577" t="str">
        <f>IF(A577="", "", COUNTIF($A$3:A577, A577))</f>
        <v/>
      </c>
    </row>
    <row r="578" spans="2:2" x14ac:dyDescent="0.3">
      <c r="B578" t="str">
        <f>IF(A578="", "", COUNTIF($A$3:A578, A578))</f>
        <v/>
      </c>
    </row>
    <row r="579" spans="2:2" x14ac:dyDescent="0.3">
      <c r="B579" t="str">
        <f>IF(A579="", "", COUNTIF($A$3:A579, A579))</f>
        <v/>
      </c>
    </row>
    <row r="580" spans="2:2" x14ac:dyDescent="0.3">
      <c r="B580" t="str">
        <f>IF(A580="", "", COUNTIF($A$3:A580, A580))</f>
        <v/>
      </c>
    </row>
    <row r="581" spans="2:2" x14ac:dyDescent="0.3">
      <c r="B581" t="str">
        <f>IF(A581="", "", COUNTIF($A$3:A581, A581))</f>
        <v/>
      </c>
    </row>
    <row r="582" spans="2:2" x14ac:dyDescent="0.3">
      <c r="B582" t="str">
        <f>IF(A582="", "", COUNTIF($A$3:A582, A582))</f>
        <v/>
      </c>
    </row>
    <row r="583" spans="2:2" x14ac:dyDescent="0.3">
      <c r="B583" t="str">
        <f>IF(A583="", "", COUNTIF($A$3:A583, A583))</f>
        <v/>
      </c>
    </row>
    <row r="584" spans="2:2" x14ac:dyDescent="0.3">
      <c r="B584" t="str">
        <f>IF(A584="", "", COUNTIF($A$3:A584, A584))</f>
        <v/>
      </c>
    </row>
    <row r="585" spans="2:2" x14ac:dyDescent="0.3">
      <c r="B585" t="str">
        <f>IF(A585="", "", COUNTIF($A$3:A585, A585))</f>
        <v/>
      </c>
    </row>
    <row r="586" spans="2:2" x14ac:dyDescent="0.3">
      <c r="B586" t="str">
        <f>IF(A586="", "", COUNTIF($A$3:A586, A586))</f>
        <v/>
      </c>
    </row>
    <row r="587" spans="2:2" x14ac:dyDescent="0.3">
      <c r="B587" t="str">
        <f>IF(A587="", "", COUNTIF($A$3:A587, A587))</f>
        <v/>
      </c>
    </row>
    <row r="588" spans="2:2" x14ac:dyDescent="0.3">
      <c r="B588" t="str">
        <f>IF(A588="", "", COUNTIF($A$3:A588, A588))</f>
        <v/>
      </c>
    </row>
    <row r="589" spans="2:2" x14ac:dyDescent="0.3">
      <c r="B589" t="str">
        <f>IF(A589="", "", COUNTIF($A$3:A589, A589))</f>
        <v/>
      </c>
    </row>
    <row r="590" spans="2:2" x14ac:dyDescent="0.3">
      <c r="B590" t="str">
        <f>IF(A590="", "", COUNTIF($A$3:A590, A590))</f>
        <v/>
      </c>
    </row>
    <row r="591" spans="2:2" x14ac:dyDescent="0.3">
      <c r="B591" t="str">
        <f>IF(A591="", "", COUNTIF($A$3:A591, A591))</f>
        <v/>
      </c>
    </row>
    <row r="592" spans="2:2" x14ac:dyDescent="0.3">
      <c r="B592" t="str">
        <f>IF(A592="", "", COUNTIF($A$3:A592, A592))</f>
        <v/>
      </c>
    </row>
    <row r="593" spans="2:2" x14ac:dyDescent="0.3">
      <c r="B593" t="str">
        <f>IF(A593="", "", COUNTIF($A$3:A593, A593))</f>
        <v/>
      </c>
    </row>
    <row r="594" spans="2:2" x14ac:dyDescent="0.3">
      <c r="B594" t="str">
        <f>IF(A594="", "", COUNTIF($A$3:A594, A594))</f>
        <v/>
      </c>
    </row>
    <row r="595" spans="2:2" x14ac:dyDescent="0.3">
      <c r="B595" t="str">
        <f>IF(A595="", "", COUNTIF($A$3:A595, A595))</f>
        <v/>
      </c>
    </row>
    <row r="596" spans="2:2" x14ac:dyDescent="0.3">
      <c r="B596" t="str">
        <f>IF(A596="", "", COUNTIF($A$3:A596, A596))</f>
        <v/>
      </c>
    </row>
    <row r="597" spans="2:2" x14ac:dyDescent="0.3">
      <c r="B597" t="str">
        <f>IF(A597="", "", COUNTIF($A$3:A597, A597))</f>
        <v/>
      </c>
    </row>
    <row r="598" spans="2:2" x14ac:dyDescent="0.3">
      <c r="B598" t="str">
        <f>IF(A598="", "", COUNTIF($A$3:A598, A598))</f>
        <v/>
      </c>
    </row>
    <row r="599" spans="2:2" x14ac:dyDescent="0.3">
      <c r="B599" t="str">
        <f>IF(A599="", "", COUNTIF($A$3:A599, A599))</f>
        <v/>
      </c>
    </row>
    <row r="600" spans="2:2" x14ac:dyDescent="0.3">
      <c r="B600" t="str">
        <f>IF(A600="", "", COUNTIF($A$3:A600, A600))</f>
        <v/>
      </c>
    </row>
    <row r="601" spans="2:2" x14ac:dyDescent="0.3">
      <c r="B601" t="str">
        <f>IF(A601="", "", COUNTIF($A$3:A601, A601))</f>
        <v/>
      </c>
    </row>
    <row r="602" spans="2:2" x14ac:dyDescent="0.3">
      <c r="B602" t="str">
        <f>IF(A602="", "", COUNTIF($A$3:A602, A602))</f>
        <v/>
      </c>
    </row>
  </sheetData>
  <mergeCells count="6">
    <mergeCell ref="AW1:BH1"/>
    <mergeCell ref="A1:M1"/>
    <mergeCell ref="AG1:AI1"/>
    <mergeCell ref="U1:AE1"/>
    <mergeCell ref="O1:S1"/>
    <mergeCell ref="AJ1:AU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6312-D1EF-40A5-A312-CFA99A11E30E}">
  <dimension ref="B1:R46"/>
  <sheetViews>
    <sheetView tabSelected="1" topLeftCell="H6" zoomScale="85" zoomScaleNormal="85" workbookViewId="0">
      <selection activeCell="E39" sqref="E39"/>
    </sheetView>
  </sheetViews>
  <sheetFormatPr defaultRowHeight="14.4" x14ac:dyDescent="0.3"/>
  <cols>
    <col min="1" max="1" width="0.6640625" customWidth="1"/>
    <col min="2" max="2" width="40.109375" customWidth="1"/>
    <col min="3" max="3" width="23.5546875" customWidth="1"/>
    <col min="4" max="4" width="91.33203125" customWidth="1"/>
    <col min="5" max="5" width="48.77734375" customWidth="1"/>
    <col min="6" max="6" width="3.33203125" customWidth="1"/>
    <col min="7" max="7" width="34.77734375" customWidth="1"/>
    <col min="8" max="10" width="27.6640625" customWidth="1"/>
    <col min="11" max="13" width="24.6640625" customWidth="1"/>
    <col min="15" max="15" width="35.77734375" customWidth="1"/>
    <col min="16" max="16" width="31.33203125" customWidth="1"/>
    <col min="17" max="17" width="36.77734375" customWidth="1"/>
    <col min="18" max="18" width="35.21875" customWidth="1"/>
  </cols>
  <sheetData>
    <row r="1" spans="2:18" ht="7.2" customHeight="1" x14ac:dyDescent="0.3"/>
    <row r="2" spans="2:18" ht="15.6" x14ac:dyDescent="0.3">
      <c r="B2" s="77" t="s">
        <v>56</v>
      </c>
      <c r="C2" s="78"/>
      <c r="D2" s="79"/>
    </row>
    <row r="3" spans="2:18" x14ac:dyDescent="0.3">
      <c r="B3" s="39"/>
      <c r="C3" s="40"/>
      <c r="D3" s="41"/>
    </row>
    <row r="4" spans="2:18" x14ac:dyDescent="0.3">
      <c r="B4" s="80"/>
      <c r="C4" s="80"/>
      <c r="D4" s="80"/>
    </row>
    <row r="5" spans="2:18" ht="15.6" x14ac:dyDescent="0.3">
      <c r="B5" s="77" t="s">
        <v>57</v>
      </c>
      <c r="C5" s="78"/>
      <c r="D5" s="79"/>
    </row>
    <row r="6" spans="2:18" x14ac:dyDescent="0.3">
      <c r="B6" s="39"/>
      <c r="C6" s="40"/>
      <c r="D6" s="41"/>
    </row>
    <row r="7" spans="2:18" x14ac:dyDescent="0.3">
      <c r="B7" s="65"/>
      <c r="C7" s="65"/>
      <c r="D7" s="65"/>
    </row>
    <row r="8" spans="2:18" ht="15.6" x14ac:dyDescent="0.3">
      <c r="B8" s="77" t="s">
        <v>58</v>
      </c>
      <c r="C8" s="78"/>
      <c r="D8" s="79"/>
    </row>
    <row r="9" spans="2:18" ht="15.6" customHeight="1" x14ac:dyDescent="0.3">
      <c r="B9" s="81"/>
      <c r="C9" s="82"/>
      <c r="D9" s="92"/>
      <c r="G9" t="s">
        <v>60</v>
      </c>
    </row>
    <row r="10" spans="2:18" x14ac:dyDescent="0.3">
      <c r="B10" s="84"/>
      <c r="C10" s="84"/>
      <c r="D10" s="84"/>
      <c r="E10" s="80"/>
      <c r="F10" s="80"/>
      <c r="G10" s="80"/>
    </row>
    <row r="11" spans="2:18" ht="27.6" customHeight="1" x14ac:dyDescent="0.3">
      <c r="B11" s="75" t="s">
        <v>61</v>
      </c>
      <c r="C11" s="75"/>
      <c r="D11" s="75"/>
      <c r="G11" s="68" t="s">
        <v>62</v>
      </c>
      <c r="H11" s="68"/>
      <c r="I11" s="68"/>
      <c r="J11" s="68"/>
      <c r="K11" s="68"/>
      <c r="L11" s="68"/>
      <c r="M11" s="68"/>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30</v>
      </c>
      <c r="D13" s="17" t="s">
        <v>76</v>
      </c>
      <c r="G13" s="91" t="s">
        <v>73</v>
      </c>
      <c r="H13" s="45">
        <f>C27</f>
        <v>252</v>
      </c>
      <c r="I13" s="45">
        <f>C28</f>
        <v>8.4</v>
      </c>
      <c r="J13" s="46">
        <v>0</v>
      </c>
      <c r="K13" s="18">
        <f>C14</f>
        <v>84</v>
      </c>
      <c r="L13" s="18">
        <f>C14</f>
        <v>84</v>
      </c>
      <c r="M13" s="18">
        <f>C14</f>
        <v>84</v>
      </c>
      <c r="O13" s="42" t="s">
        <v>70</v>
      </c>
      <c r="P13" s="33">
        <f>$C$14/$C$15</f>
        <v>0.33333333333333331</v>
      </c>
      <c r="Q13" s="33">
        <f>$C32/$C$35</f>
        <v>0.35873015873015862</v>
      </c>
      <c r="R13" s="33">
        <f>C41/C44</f>
        <v>0.41414141414141414</v>
      </c>
    </row>
    <row r="14" spans="2:18" x14ac:dyDescent="0.3">
      <c r="B14" s="15" t="s">
        <v>77</v>
      </c>
      <c r="C14" s="93">
        <v>84</v>
      </c>
      <c r="D14" s="17" t="s">
        <v>78</v>
      </c>
      <c r="G14" s="44" t="s">
        <v>74</v>
      </c>
      <c r="H14" s="47">
        <f>C35</f>
        <v>210</v>
      </c>
      <c r="I14" s="45">
        <f>C36</f>
        <v>7</v>
      </c>
      <c r="J14" s="46">
        <f>C37</f>
        <v>0.16666666666666666</v>
      </c>
      <c r="K14" s="20">
        <f>C32</f>
        <v>75.333333333333314</v>
      </c>
      <c r="L14" s="20">
        <f>C33</f>
        <v>69.999999999999986</v>
      </c>
      <c r="M14" s="20">
        <f>C34</f>
        <v>64.666666666666686</v>
      </c>
      <c r="O14" s="42" t="s">
        <v>71</v>
      </c>
      <c r="P14" s="33">
        <f t="shared" ref="P14:P15" si="0">$C$14/$C$15</f>
        <v>0.33333333333333331</v>
      </c>
      <c r="Q14" s="33">
        <f>$C33/$C$35</f>
        <v>0.33333333333333326</v>
      </c>
      <c r="R14" s="33">
        <f>C42/C44</f>
        <v>0.33333333333333337</v>
      </c>
    </row>
    <row r="15" spans="2:18" x14ac:dyDescent="0.3">
      <c r="B15" s="19" t="s">
        <v>79</v>
      </c>
      <c r="C15" s="93">
        <v>252</v>
      </c>
      <c r="D15" s="17" t="s">
        <v>80</v>
      </c>
      <c r="G15" s="44" t="s">
        <v>81</v>
      </c>
      <c r="H15" s="47">
        <f>C44</f>
        <v>154.00000000000003</v>
      </c>
      <c r="I15" s="45">
        <f>C45</f>
        <v>5.1333333333333346</v>
      </c>
      <c r="J15" s="46">
        <f>C46</f>
        <v>0.38888888888888878</v>
      </c>
      <c r="K15" s="20">
        <f>C41</f>
        <v>63.777777777777793</v>
      </c>
      <c r="L15" s="20">
        <f>C42</f>
        <v>51.33333333333335</v>
      </c>
      <c r="M15" s="20">
        <f>C43</f>
        <v>38.888888888888886</v>
      </c>
      <c r="O15" s="42" t="s">
        <v>72</v>
      </c>
      <c r="P15" s="33">
        <f t="shared" si="0"/>
        <v>0.33333333333333331</v>
      </c>
      <c r="Q15" s="33">
        <f>$C34/$C$35</f>
        <v>0.30793650793650801</v>
      </c>
      <c r="R15" s="33">
        <f>C43/C44</f>
        <v>0.25252525252525243</v>
      </c>
    </row>
    <row r="16" spans="2:18" x14ac:dyDescent="0.3">
      <c r="B16" s="19" t="s">
        <v>82</v>
      </c>
      <c r="C16" s="18">
        <f>C15/30</f>
        <v>8.4</v>
      </c>
      <c r="D16" s="17" t="s">
        <v>83</v>
      </c>
    </row>
    <row r="17" spans="2:10" x14ac:dyDescent="0.3">
      <c r="B17" s="76"/>
      <c r="C17" s="76"/>
      <c r="D17" s="76"/>
      <c r="G17" s="13"/>
      <c r="H17" s="13"/>
      <c r="I17" s="13"/>
      <c r="J17" s="13"/>
    </row>
    <row r="18" spans="2:10" x14ac:dyDescent="0.3">
      <c r="B18" s="73" t="s">
        <v>84</v>
      </c>
      <c r="C18" s="73"/>
      <c r="D18" s="73"/>
      <c r="E18" s="69" t="s">
        <v>85</v>
      </c>
      <c r="G18" s="14"/>
      <c r="H18" s="14"/>
      <c r="I18" s="14"/>
      <c r="J18" s="14"/>
    </row>
    <row r="19" spans="2:10" ht="15" customHeight="1" x14ac:dyDescent="0.3">
      <c r="B19" s="22" t="s">
        <v>63</v>
      </c>
      <c r="C19" s="23" t="s">
        <v>86</v>
      </c>
      <c r="D19" s="22" t="s">
        <v>65</v>
      </c>
      <c r="E19" s="69"/>
      <c r="G19" s="14"/>
      <c r="H19" s="14"/>
      <c r="I19" s="14"/>
      <c r="J19" s="14"/>
    </row>
    <row r="20" spans="2:10" x14ac:dyDescent="0.3">
      <c r="B20" s="21" t="s">
        <v>70</v>
      </c>
      <c r="C20" s="95">
        <f>SUM('Component Info'!U:U, 'Component Info'!Y:Y, 'Component Info'!AC:AC)</f>
        <v>63.777777777777793</v>
      </c>
      <c r="D20" s="21" t="s">
        <v>87</v>
      </c>
      <c r="E20" s="69"/>
      <c r="G20" s="14"/>
      <c r="H20" s="14"/>
      <c r="I20" s="14"/>
      <c r="J20" s="14"/>
    </row>
    <row r="21" spans="2:10" x14ac:dyDescent="0.3">
      <c r="B21" s="21" t="s">
        <v>71</v>
      </c>
      <c r="C21" s="95">
        <f>SUM('Component Info'!V:V, 'Component Info'!Z:Z, 'Component Info'!AD:AD)</f>
        <v>51.33333333333335</v>
      </c>
      <c r="D21" s="21" t="s">
        <v>88</v>
      </c>
      <c r="E21" s="69"/>
    </row>
    <row r="22" spans="2:10" ht="15" thickBot="1" x14ac:dyDescent="0.35">
      <c r="B22" s="27" t="s">
        <v>72</v>
      </c>
      <c r="C22" s="96">
        <f>SUM('Component Info'!W:W, 'Component Info'!AA:AA, 'Component Info'!AE:AE)</f>
        <v>38.888888888888886</v>
      </c>
      <c r="D22" s="27" t="s">
        <v>89</v>
      </c>
      <c r="E22" s="69"/>
    </row>
    <row r="23" spans="2:10" x14ac:dyDescent="0.3">
      <c r="B23" s="25" t="s">
        <v>90</v>
      </c>
      <c r="C23" s="97">
        <f>SUM(C20:C22)</f>
        <v>154.00000000000003</v>
      </c>
      <c r="D23" s="25" t="s">
        <v>91</v>
      </c>
      <c r="E23" s="69"/>
    </row>
    <row r="24" spans="2:10" ht="29.4" customHeight="1" x14ac:dyDescent="0.3">
      <c r="B24" s="70"/>
      <c r="C24" s="70"/>
      <c r="D24" s="70"/>
    </row>
    <row r="25" spans="2:10" x14ac:dyDescent="0.3">
      <c r="B25" s="74" t="s">
        <v>92</v>
      </c>
      <c r="C25" s="74"/>
      <c r="D25" s="74"/>
    </row>
    <row r="26" spans="2:10" ht="16.2" customHeight="1" x14ac:dyDescent="0.3">
      <c r="B26" s="22" t="s">
        <v>63</v>
      </c>
      <c r="C26" s="23" t="s">
        <v>86</v>
      </c>
      <c r="D26" s="22" t="s">
        <v>65</v>
      </c>
    </row>
    <row r="27" spans="2:10" ht="16.2" customHeight="1" x14ac:dyDescent="0.3">
      <c r="B27" s="15" t="s">
        <v>79</v>
      </c>
      <c r="C27" s="18">
        <f>C15</f>
        <v>252</v>
      </c>
      <c r="D27" s="17" t="s">
        <v>80</v>
      </c>
    </row>
    <row r="28" spans="2:10" ht="16.2" customHeight="1" x14ac:dyDescent="0.3">
      <c r="B28" s="15" t="s">
        <v>82</v>
      </c>
      <c r="C28" s="18">
        <f>C27/C13</f>
        <v>8.4</v>
      </c>
      <c r="D28" s="17" t="s">
        <v>83</v>
      </c>
    </row>
    <row r="29" spans="2:10" ht="28.2" customHeight="1" x14ac:dyDescent="0.3">
      <c r="B29" s="70"/>
      <c r="C29" s="70"/>
      <c r="D29" s="70"/>
    </row>
    <row r="30" spans="2:10" x14ac:dyDescent="0.3">
      <c r="B30" s="72" t="s">
        <v>93</v>
      </c>
      <c r="C30" s="72"/>
      <c r="D30" s="72"/>
    </row>
    <row r="31" spans="2:10" x14ac:dyDescent="0.3">
      <c r="B31" s="22" t="s">
        <v>63</v>
      </c>
      <c r="C31" s="29" t="s">
        <v>86</v>
      </c>
      <c r="D31" s="22" t="s">
        <v>65</v>
      </c>
    </row>
    <row r="32" spans="2:10" x14ac:dyDescent="0.3">
      <c r="B32" s="37" t="s">
        <v>70</v>
      </c>
      <c r="C32" s="20">
        <v>75.333333333333314</v>
      </c>
      <c r="D32" s="21" t="s">
        <v>87</v>
      </c>
    </row>
    <row r="33" spans="2:13" x14ac:dyDescent="0.3">
      <c r="B33" s="37" t="s">
        <v>71</v>
      </c>
      <c r="C33" s="20">
        <v>69.999999999999986</v>
      </c>
      <c r="D33" s="21" t="s">
        <v>88</v>
      </c>
    </row>
    <row r="34" spans="2:13" ht="14.4" customHeight="1" thickBot="1" x14ac:dyDescent="0.35">
      <c r="B34" s="38" t="s">
        <v>72</v>
      </c>
      <c r="C34" s="28">
        <v>64.666666666666686</v>
      </c>
      <c r="D34" s="31" t="s">
        <v>89</v>
      </c>
      <c r="K34" s="48"/>
      <c r="L34" s="48"/>
      <c r="M34" s="48"/>
    </row>
    <row r="35" spans="2:13" ht="15" customHeight="1" x14ac:dyDescent="0.3">
      <c r="B35" s="34" t="s">
        <v>94</v>
      </c>
      <c r="C35" s="26">
        <f>SUM(C32:C34)</f>
        <v>210</v>
      </c>
      <c r="D35" s="25" t="s">
        <v>91</v>
      </c>
      <c r="J35" s="48"/>
      <c r="K35" s="48"/>
      <c r="L35" s="48"/>
      <c r="M35" s="48"/>
    </row>
    <row r="36" spans="2:13" ht="15" customHeight="1" x14ac:dyDescent="0.3">
      <c r="B36" s="35" t="s">
        <v>82</v>
      </c>
      <c r="C36" s="20">
        <f>C35/C13</f>
        <v>7</v>
      </c>
      <c r="D36" s="30" t="s">
        <v>95</v>
      </c>
      <c r="K36" s="48"/>
      <c r="L36" s="48"/>
      <c r="M36" s="48"/>
    </row>
    <row r="37" spans="2:13" ht="15" customHeight="1" x14ac:dyDescent="0.3">
      <c r="B37" s="36" t="s">
        <v>69</v>
      </c>
      <c r="C37" s="33">
        <f>(C27-C35)/C27</f>
        <v>0.16666666666666666</v>
      </c>
      <c r="D37" s="21"/>
    </row>
    <row r="38" spans="2:13" ht="28.2" customHeight="1" x14ac:dyDescent="0.3">
      <c r="F38" s="9"/>
      <c r="G38" s="10"/>
    </row>
    <row r="39" spans="2:13" x14ac:dyDescent="0.3">
      <c r="B39" s="71" t="s">
        <v>96</v>
      </c>
      <c r="C39" s="71"/>
      <c r="D39" s="71"/>
      <c r="F39" s="9"/>
      <c r="G39" s="10"/>
    </row>
    <row r="40" spans="2:13" x14ac:dyDescent="0.3">
      <c r="B40" s="22" t="s">
        <v>63</v>
      </c>
      <c r="C40" s="29" t="s">
        <v>86</v>
      </c>
      <c r="D40" s="22" t="s">
        <v>65</v>
      </c>
      <c r="F40" s="9"/>
      <c r="G40" s="10"/>
    </row>
    <row r="41" spans="2:13" x14ac:dyDescent="0.3">
      <c r="B41" s="37" t="s">
        <v>70</v>
      </c>
      <c r="C41" s="95">
        <f>SUM('Component Info'!U:U, 'Component Info'!Y:Y, 'Component Info'!AC:AC)</f>
        <v>63.777777777777793</v>
      </c>
      <c r="D41" s="21" t="s">
        <v>87</v>
      </c>
      <c r="J41" s="48"/>
      <c r="K41" s="48"/>
      <c r="L41" s="48"/>
      <c r="M41" s="48"/>
    </row>
    <row r="42" spans="2:13" x14ac:dyDescent="0.3">
      <c r="B42" s="37" t="s">
        <v>71</v>
      </c>
      <c r="C42" s="20">
        <f>SUM('Component Info'!V:V, 'Component Info'!Z:Z, 'Component Info'!AD:AD)</f>
        <v>51.33333333333335</v>
      </c>
      <c r="D42" s="21" t="s">
        <v>88</v>
      </c>
      <c r="J42" s="48"/>
      <c r="K42" s="48"/>
      <c r="L42" s="48"/>
      <c r="M42" s="48"/>
    </row>
    <row r="43" spans="2:13" ht="15" thickBot="1" x14ac:dyDescent="0.35">
      <c r="B43" s="38" t="s">
        <v>72</v>
      </c>
      <c r="C43" s="28">
        <f>SUM('Component Info'!W:W, 'Component Info'!AA:AA, 'Component Info'!AE:AE)</f>
        <v>38.888888888888886</v>
      </c>
      <c r="D43" s="31" t="s">
        <v>89</v>
      </c>
    </row>
    <row r="44" spans="2:13" x14ac:dyDescent="0.3">
      <c r="B44" s="34" t="s">
        <v>90</v>
      </c>
      <c r="C44" s="26">
        <f>SUM(C41:C43)</f>
        <v>154.00000000000003</v>
      </c>
      <c r="D44" s="25" t="s">
        <v>91</v>
      </c>
    </row>
    <row r="45" spans="2:13" x14ac:dyDescent="0.3">
      <c r="B45" s="35" t="s">
        <v>82</v>
      </c>
      <c r="C45" s="20">
        <f>C44/C13</f>
        <v>5.1333333333333346</v>
      </c>
      <c r="D45" s="30" t="s">
        <v>95</v>
      </c>
    </row>
    <row r="46" spans="2:13" x14ac:dyDescent="0.3">
      <c r="B46" s="36" t="s">
        <v>69</v>
      </c>
      <c r="C46" s="33">
        <f>(C27-C44)/C27</f>
        <v>0.38888888888888878</v>
      </c>
      <c r="D46" s="21"/>
    </row>
  </sheetData>
  <mergeCells count="18">
    <mergeCell ref="B2:D2"/>
    <mergeCell ref="B5:D5"/>
    <mergeCell ref="B4:D4"/>
    <mergeCell ref="E10:G10"/>
    <mergeCell ref="B7:D7"/>
    <mergeCell ref="B8:D8"/>
    <mergeCell ref="B9:D9"/>
    <mergeCell ref="B10:D10"/>
    <mergeCell ref="G11:M11"/>
    <mergeCell ref="E18:E23"/>
    <mergeCell ref="B24:D24"/>
    <mergeCell ref="B29:D29"/>
    <mergeCell ref="B39:D39"/>
    <mergeCell ref="B30:D30"/>
    <mergeCell ref="B18:D18"/>
    <mergeCell ref="B25:D25"/>
    <mergeCell ref="B11:D11"/>
    <mergeCell ref="B17:D17"/>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4479-2778-462B-BDFD-3AAEE69613FF}">
  <dimension ref="B1:R46"/>
  <sheetViews>
    <sheetView zoomScale="70" zoomScaleNormal="70" workbookViewId="0">
      <selection activeCell="C20" sqref="C20"/>
    </sheetView>
  </sheetViews>
  <sheetFormatPr defaultRowHeight="14.4" x14ac:dyDescent="0.3"/>
  <cols>
    <col min="1" max="1" width="0.6640625" customWidth="1"/>
    <col min="2" max="2" width="40.109375" customWidth="1"/>
    <col min="3" max="3" width="23.5546875" customWidth="1"/>
    <col min="4" max="4" width="91.33203125" customWidth="1"/>
    <col min="5" max="5" width="38.88671875" customWidth="1"/>
    <col min="6" max="6" width="3.33203125" customWidth="1"/>
    <col min="7" max="10" width="27.6640625" customWidth="1"/>
    <col min="11" max="13" width="24.6640625" customWidth="1"/>
    <col min="15" max="15" width="27.6640625" customWidth="1"/>
    <col min="16" max="18" width="24.6640625" customWidth="1"/>
  </cols>
  <sheetData>
    <row r="1" spans="2:18" ht="7.2" customHeight="1" x14ac:dyDescent="0.3"/>
    <row r="2" spans="2:18" ht="15.6" x14ac:dyDescent="0.3">
      <c r="B2" s="77" t="s">
        <v>56</v>
      </c>
      <c r="C2" s="78"/>
      <c r="D2" s="79"/>
    </row>
    <row r="3" spans="2:18" x14ac:dyDescent="0.3">
      <c r="B3" s="39"/>
      <c r="C3" s="40"/>
      <c r="D3" s="41"/>
    </row>
    <row r="4" spans="2:18" x14ac:dyDescent="0.3">
      <c r="B4" s="80"/>
      <c r="C4" s="80"/>
      <c r="D4" s="80"/>
    </row>
    <row r="5" spans="2:18" ht="15.6" x14ac:dyDescent="0.3">
      <c r="B5" s="77" t="s">
        <v>57</v>
      </c>
      <c r="C5" s="78"/>
      <c r="D5" s="79"/>
    </row>
    <row r="6" spans="2:18" x14ac:dyDescent="0.3">
      <c r="B6" s="39"/>
      <c r="C6" s="40"/>
      <c r="D6" s="41"/>
    </row>
    <row r="7" spans="2:18" x14ac:dyDescent="0.3">
      <c r="B7" s="65"/>
      <c r="C7" s="65"/>
      <c r="D7" s="65"/>
    </row>
    <row r="8" spans="2:18" ht="15.6" x14ac:dyDescent="0.3">
      <c r="B8" s="77" t="s">
        <v>58</v>
      </c>
      <c r="C8" s="78"/>
      <c r="D8" s="79"/>
    </row>
    <row r="9" spans="2:18" ht="15.6" customHeight="1" x14ac:dyDescent="0.3">
      <c r="B9" s="81" t="s">
        <v>59</v>
      </c>
      <c r="C9" s="82"/>
      <c r="D9" s="83"/>
      <c r="G9" t="s">
        <v>60</v>
      </c>
    </row>
    <row r="10" spans="2:18" x14ac:dyDescent="0.3">
      <c r="B10" s="84"/>
      <c r="C10" s="84"/>
      <c r="D10" s="84"/>
      <c r="E10" s="80"/>
      <c r="F10" s="80"/>
      <c r="G10" s="80"/>
    </row>
    <row r="11" spans="2:18" ht="27.6" customHeight="1" x14ac:dyDescent="0.3">
      <c r="B11" s="75" t="s">
        <v>61</v>
      </c>
      <c r="C11" s="75"/>
      <c r="D11" s="75"/>
      <c r="G11" s="68" t="s">
        <v>62</v>
      </c>
      <c r="H11" s="68"/>
      <c r="I11" s="68"/>
      <c r="J11" s="68"/>
      <c r="K11" s="68"/>
      <c r="L11" s="68"/>
      <c r="M11" s="68"/>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30</v>
      </c>
      <c r="D13" s="17" t="s">
        <v>76</v>
      </c>
      <c r="G13" s="44" t="s">
        <v>73</v>
      </c>
      <c r="H13" s="45" t="str">
        <f>C27</f>
        <v>Input Number</v>
      </c>
      <c r="I13" s="45" t="e">
        <f>C28</f>
        <v>#VALUE!</v>
      </c>
      <c r="J13" s="46">
        <v>0</v>
      </c>
      <c r="K13" s="18" t="str">
        <f>C14</f>
        <v>Input Number</v>
      </c>
      <c r="L13" s="18" t="str">
        <f>C14</f>
        <v>Input Number</v>
      </c>
      <c r="M13" s="18" t="str">
        <f>C14</f>
        <v>Input Number</v>
      </c>
      <c r="O13" s="42" t="s">
        <v>70</v>
      </c>
      <c r="P13" s="33" t="e">
        <f>$C$14/$C$15</f>
        <v>#VALUE!</v>
      </c>
      <c r="Q13" s="33" t="e">
        <f>$C32/$C$35</f>
        <v>#DIV/0!</v>
      </c>
      <c r="R13" s="33" t="e">
        <f>C41/C44</f>
        <v>#DIV/0!</v>
      </c>
    </row>
    <row r="14" spans="2:18" x14ac:dyDescent="0.3">
      <c r="B14" s="15" t="s">
        <v>77</v>
      </c>
      <c r="C14" s="93" t="s">
        <v>106</v>
      </c>
      <c r="D14" s="17" t="s">
        <v>78</v>
      </c>
      <c r="G14" s="44" t="s">
        <v>74</v>
      </c>
      <c r="H14" s="47">
        <f>C35</f>
        <v>0</v>
      </c>
      <c r="I14" s="45">
        <f>C36</f>
        <v>0</v>
      </c>
      <c r="J14" s="46" t="e">
        <f>C37</f>
        <v>#VALUE!</v>
      </c>
      <c r="K14" s="20">
        <f>C32</f>
        <v>0</v>
      </c>
      <c r="L14" s="20">
        <f>C33</f>
        <v>0</v>
      </c>
      <c r="M14" s="20">
        <f>C34</f>
        <v>0</v>
      </c>
      <c r="O14" s="42" t="s">
        <v>71</v>
      </c>
      <c r="P14" s="33" t="e">
        <f t="shared" ref="P14:P15" si="0">$C$14/$C$15</f>
        <v>#VALUE!</v>
      </c>
      <c r="Q14" s="33" t="e">
        <f>$C33/$C$35</f>
        <v>#DIV/0!</v>
      </c>
      <c r="R14" s="33" t="e">
        <f>C42/C44</f>
        <v>#DIV/0!</v>
      </c>
    </row>
    <row r="15" spans="2:18" x14ac:dyDescent="0.3">
      <c r="B15" s="19" t="s">
        <v>79</v>
      </c>
      <c r="C15" s="93" t="s">
        <v>106</v>
      </c>
      <c r="D15" s="17" t="s">
        <v>80</v>
      </c>
      <c r="G15" s="44" t="s">
        <v>81</v>
      </c>
      <c r="H15" s="47">
        <f>C44</f>
        <v>0</v>
      </c>
      <c r="I15" s="45">
        <f>C45</f>
        <v>0</v>
      </c>
      <c r="J15" s="46" t="e">
        <f>C46</f>
        <v>#VALUE!</v>
      </c>
      <c r="K15" s="20">
        <f>C41</f>
        <v>0</v>
      </c>
      <c r="L15" s="20">
        <f>C42</f>
        <v>0</v>
      </c>
      <c r="M15" s="20">
        <f>C43</f>
        <v>0</v>
      </c>
      <c r="O15" s="42" t="s">
        <v>72</v>
      </c>
      <c r="P15" s="33" t="e">
        <f t="shared" si="0"/>
        <v>#VALUE!</v>
      </c>
      <c r="Q15" s="33" t="e">
        <f>$C34/$C$35</f>
        <v>#DIV/0!</v>
      </c>
      <c r="R15" s="33" t="e">
        <f>C43/C44</f>
        <v>#DIV/0!</v>
      </c>
    </row>
    <row r="16" spans="2:18" x14ac:dyDescent="0.3">
      <c r="B16" s="19" t="s">
        <v>82</v>
      </c>
      <c r="C16" s="18" t="e">
        <f>C15/30</f>
        <v>#VALUE!</v>
      </c>
      <c r="D16" s="17" t="s">
        <v>83</v>
      </c>
    </row>
    <row r="17" spans="2:10" x14ac:dyDescent="0.3">
      <c r="B17" s="76"/>
      <c r="C17" s="76"/>
      <c r="D17" s="76"/>
      <c r="G17" s="13"/>
      <c r="H17" s="13"/>
      <c r="I17" s="13"/>
      <c r="J17" s="13"/>
    </row>
    <row r="18" spans="2:10" ht="14.4" customHeight="1" x14ac:dyDescent="0.3">
      <c r="B18" s="73" t="s">
        <v>84</v>
      </c>
      <c r="C18" s="73"/>
      <c r="D18" s="73"/>
      <c r="E18" s="69" t="s">
        <v>85</v>
      </c>
      <c r="G18" s="14"/>
      <c r="H18" s="14"/>
      <c r="I18" s="14"/>
      <c r="J18" s="14"/>
    </row>
    <row r="19" spans="2:10" ht="15" customHeight="1" x14ac:dyDescent="0.3">
      <c r="B19" s="22" t="s">
        <v>63</v>
      </c>
      <c r="C19" s="23" t="s">
        <v>86</v>
      </c>
      <c r="D19" s="22" t="s">
        <v>65</v>
      </c>
      <c r="E19" s="69"/>
      <c r="G19" s="14"/>
      <c r="H19" s="14"/>
      <c r="I19" s="14"/>
      <c r="J19" s="14"/>
    </row>
    <row r="20" spans="2:10" x14ac:dyDescent="0.3">
      <c r="B20" s="21" t="s">
        <v>70</v>
      </c>
      <c r="C20" s="20">
        <f>SUM('Component Info'!AJ:AJ, 'Component Info'!AN:AN, 'Component Info'!AS:AS)</f>
        <v>70</v>
      </c>
      <c r="D20" s="21" t="s">
        <v>87</v>
      </c>
      <c r="E20" s="69"/>
      <c r="G20" s="14"/>
      <c r="H20" s="14"/>
      <c r="I20" s="14"/>
      <c r="J20" s="14"/>
    </row>
    <row r="21" spans="2:10" x14ac:dyDescent="0.3">
      <c r="B21" s="21" t="s">
        <v>71</v>
      </c>
      <c r="C21" s="20">
        <f>SUM('Component Info'!AK:AK, 'Component Info'!AO:AO, 'Component Info'!AT:AT)</f>
        <v>35</v>
      </c>
      <c r="D21" s="21" t="s">
        <v>88</v>
      </c>
      <c r="E21" s="69"/>
    </row>
    <row r="22" spans="2:10" ht="15" thickBot="1" x14ac:dyDescent="0.35">
      <c r="B22" s="27" t="s">
        <v>72</v>
      </c>
      <c r="C22" s="28">
        <f>SUM('Component Info'!AL:AL, 'Component Info'!AP:AP, 'Component Info'!AU:AU)</f>
        <v>49</v>
      </c>
      <c r="D22" s="27" t="s">
        <v>89</v>
      </c>
      <c r="E22" s="69"/>
    </row>
    <row r="23" spans="2:10" x14ac:dyDescent="0.3">
      <c r="B23" s="25" t="s">
        <v>90</v>
      </c>
      <c r="C23" s="26">
        <f>SUM(C20:C22)</f>
        <v>154</v>
      </c>
      <c r="D23" s="25" t="s">
        <v>91</v>
      </c>
      <c r="E23" s="69"/>
    </row>
    <row r="24" spans="2:10" ht="29.4" customHeight="1" x14ac:dyDescent="0.3">
      <c r="B24" s="70"/>
      <c r="C24" s="70"/>
      <c r="D24" s="70"/>
    </row>
    <row r="25" spans="2:10" x14ac:dyDescent="0.3">
      <c r="B25" s="74" t="s">
        <v>92</v>
      </c>
      <c r="C25" s="74"/>
      <c r="D25" s="74"/>
    </row>
    <row r="26" spans="2:10" ht="16.2" customHeight="1" x14ac:dyDescent="0.3">
      <c r="B26" s="22" t="s">
        <v>63</v>
      </c>
      <c r="C26" s="23" t="s">
        <v>86</v>
      </c>
      <c r="D26" s="22" t="s">
        <v>65</v>
      </c>
    </row>
    <row r="27" spans="2:10" ht="16.2" customHeight="1" x14ac:dyDescent="0.3">
      <c r="B27" s="15" t="s">
        <v>79</v>
      </c>
      <c r="C27" s="18" t="str">
        <f>C15</f>
        <v>Input Number</v>
      </c>
      <c r="D27" s="17" t="s">
        <v>80</v>
      </c>
    </row>
    <row r="28" spans="2:10" ht="16.2" customHeight="1" x14ac:dyDescent="0.3">
      <c r="B28" s="15" t="s">
        <v>82</v>
      </c>
      <c r="C28" s="18" t="e">
        <f>C27/30</f>
        <v>#VALUE!</v>
      </c>
      <c r="D28" s="17" t="s">
        <v>83</v>
      </c>
    </row>
    <row r="29" spans="2:10" ht="28.2" customHeight="1" x14ac:dyDescent="0.3">
      <c r="B29" s="70"/>
      <c r="C29" s="70"/>
      <c r="D29" s="70"/>
    </row>
    <row r="30" spans="2:10" x14ac:dyDescent="0.3">
      <c r="B30" s="72" t="s">
        <v>93</v>
      </c>
      <c r="C30" s="72"/>
      <c r="D30" s="72"/>
    </row>
    <row r="31" spans="2:10" x14ac:dyDescent="0.3">
      <c r="B31" s="22" t="s">
        <v>63</v>
      </c>
      <c r="C31" s="29" t="s">
        <v>86</v>
      </c>
      <c r="D31" s="22" t="s">
        <v>65</v>
      </c>
    </row>
    <row r="32" spans="2:10" x14ac:dyDescent="0.3">
      <c r="B32" s="37" t="s">
        <v>70</v>
      </c>
      <c r="C32" s="20"/>
      <c r="D32" s="21" t="s">
        <v>87</v>
      </c>
    </row>
    <row r="33" spans="2:13" x14ac:dyDescent="0.3">
      <c r="B33" s="37" t="s">
        <v>71</v>
      </c>
      <c r="C33" s="20"/>
      <c r="D33" s="21" t="s">
        <v>88</v>
      </c>
    </row>
    <row r="34" spans="2:13" ht="14.4" customHeight="1" x14ac:dyDescent="0.3">
      <c r="B34" s="38" t="s">
        <v>72</v>
      </c>
      <c r="C34" s="32"/>
      <c r="D34" s="31" t="s">
        <v>89</v>
      </c>
      <c r="K34" s="48"/>
      <c r="L34" s="48"/>
      <c r="M34" s="48"/>
    </row>
    <row r="35" spans="2:13" ht="15" customHeight="1" x14ac:dyDescent="0.3">
      <c r="B35" s="34" t="s">
        <v>90</v>
      </c>
      <c r="C35" s="26">
        <f>SUM(C32:C34)</f>
        <v>0</v>
      </c>
      <c r="D35" s="25" t="s">
        <v>91</v>
      </c>
      <c r="J35" s="48"/>
      <c r="K35" s="48"/>
      <c r="L35" s="48"/>
      <c r="M35" s="48"/>
    </row>
    <row r="36" spans="2:13" ht="15" customHeight="1" x14ac:dyDescent="0.3">
      <c r="B36" s="35" t="s">
        <v>82</v>
      </c>
      <c r="C36" s="20">
        <f>C35/C13</f>
        <v>0</v>
      </c>
      <c r="D36" s="30" t="s">
        <v>95</v>
      </c>
      <c r="K36" s="48"/>
      <c r="L36" s="48"/>
      <c r="M36" s="48"/>
    </row>
    <row r="37" spans="2:13" ht="15" customHeight="1" x14ac:dyDescent="0.3">
      <c r="B37" s="36" t="s">
        <v>69</v>
      </c>
      <c r="C37" s="33" t="e">
        <f>(C27-C35)/C27</f>
        <v>#VALUE!</v>
      </c>
      <c r="D37" s="21"/>
    </row>
    <row r="38" spans="2:13" ht="28.2" customHeight="1" x14ac:dyDescent="0.3">
      <c r="F38" s="9"/>
      <c r="G38" s="10"/>
    </row>
    <row r="39" spans="2:13" x14ac:dyDescent="0.3">
      <c r="B39" s="71" t="s">
        <v>96</v>
      </c>
      <c r="C39" s="71"/>
      <c r="D39" s="71"/>
      <c r="F39" s="9"/>
      <c r="G39" s="10"/>
    </row>
    <row r="40" spans="2:13" x14ac:dyDescent="0.3">
      <c r="B40" s="22" t="s">
        <v>63</v>
      </c>
      <c r="C40" s="29" t="s">
        <v>86</v>
      </c>
      <c r="D40" s="22" t="s">
        <v>65</v>
      </c>
      <c r="F40" s="9"/>
      <c r="G40" s="10"/>
    </row>
    <row r="41" spans="2:13" x14ac:dyDescent="0.3">
      <c r="B41" s="37" t="s">
        <v>70</v>
      </c>
      <c r="C41" s="20"/>
      <c r="D41" s="21" t="s">
        <v>87</v>
      </c>
      <c r="J41" s="48"/>
      <c r="K41" s="48"/>
      <c r="L41" s="48"/>
      <c r="M41" s="48"/>
    </row>
    <row r="42" spans="2:13" x14ac:dyDescent="0.3">
      <c r="B42" s="37" t="s">
        <v>71</v>
      </c>
      <c r="C42" s="20"/>
      <c r="D42" s="21" t="s">
        <v>88</v>
      </c>
      <c r="J42" s="48"/>
      <c r="K42" s="48"/>
      <c r="L42" s="48"/>
      <c r="M42" s="48"/>
    </row>
    <row r="43" spans="2:13" ht="15" thickBot="1" x14ac:dyDescent="0.35">
      <c r="B43" s="38" t="s">
        <v>72</v>
      </c>
      <c r="C43" s="28"/>
      <c r="D43" s="31" t="s">
        <v>89</v>
      </c>
    </row>
    <row r="44" spans="2:13" x14ac:dyDescent="0.3">
      <c r="B44" s="34" t="s">
        <v>90</v>
      </c>
      <c r="C44" s="26">
        <f>SUM(C41:C43)</f>
        <v>0</v>
      </c>
      <c r="D44" s="25" t="s">
        <v>91</v>
      </c>
    </row>
    <row r="45" spans="2:13" x14ac:dyDescent="0.3">
      <c r="B45" s="35" t="s">
        <v>82</v>
      </c>
      <c r="C45" s="20">
        <f>C44/C13</f>
        <v>0</v>
      </c>
      <c r="D45" s="30" t="s">
        <v>95</v>
      </c>
    </row>
    <row r="46" spans="2:13" x14ac:dyDescent="0.3">
      <c r="B46" s="36" t="s">
        <v>69</v>
      </c>
      <c r="C46" s="33" t="e">
        <f>(C27-C44)/C27</f>
        <v>#VALUE!</v>
      </c>
      <c r="D46" s="21"/>
    </row>
  </sheetData>
  <mergeCells count="18">
    <mergeCell ref="B24:D24"/>
    <mergeCell ref="B25:D25"/>
    <mergeCell ref="B29:D29"/>
    <mergeCell ref="B30:D30"/>
    <mergeCell ref="B39:D39"/>
    <mergeCell ref="B18:D18"/>
    <mergeCell ref="E18:E23"/>
    <mergeCell ref="B2:D2"/>
    <mergeCell ref="B4:D4"/>
    <mergeCell ref="B5:D5"/>
    <mergeCell ref="B7:D7"/>
    <mergeCell ref="B8:D8"/>
    <mergeCell ref="B9:D9"/>
    <mergeCell ref="B10:D10"/>
    <mergeCell ref="E10:G10"/>
    <mergeCell ref="B11:D11"/>
    <mergeCell ref="G11:M11"/>
    <mergeCell ref="B17:D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BE70-641A-402D-89BE-3432C2254B36}">
  <dimension ref="B1:R46"/>
  <sheetViews>
    <sheetView zoomScale="55" zoomScaleNormal="55" workbookViewId="0">
      <selection activeCell="C20" sqref="C20"/>
    </sheetView>
  </sheetViews>
  <sheetFormatPr defaultRowHeight="14.4" x14ac:dyDescent="0.3"/>
  <cols>
    <col min="1" max="1" width="0.6640625" customWidth="1"/>
    <col min="2" max="2" width="40.109375" customWidth="1"/>
    <col min="3" max="3" width="23.5546875" customWidth="1"/>
    <col min="4" max="4" width="91.33203125" customWidth="1"/>
    <col min="5" max="5" width="39.109375" customWidth="1"/>
    <col min="6" max="6" width="3.33203125" customWidth="1"/>
    <col min="7" max="7" width="35.109375" customWidth="1"/>
    <col min="8" max="8" width="30.109375" customWidth="1"/>
    <col min="9" max="9" width="37.88671875" customWidth="1"/>
    <col min="10" max="10" width="32.5546875" customWidth="1"/>
    <col min="11" max="11" width="32.6640625" customWidth="1"/>
    <col min="12" max="12" width="33.109375" customWidth="1"/>
    <col min="13" max="13" width="32.77734375" customWidth="1"/>
    <col min="15" max="15" width="35.77734375" customWidth="1"/>
    <col min="16" max="16" width="31.33203125" customWidth="1"/>
    <col min="17" max="17" width="36.77734375" customWidth="1"/>
    <col min="18" max="18" width="35.21875" customWidth="1"/>
  </cols>
  <sheetData>
    <row r="1" spans="2:18" ht="7.2" customHeight="1" x14ac:dyDescent="0.3"/>
    <row r="2" spans="2:18" ht="15.6" x14ac:dyDescent="0.3">
      <c r="B2" s="77" t="s">
        <v>56</v>
      </c>
      <c r="C2" s="78"/>
      <c r="D2" s="79"/>
    </row>
    <row r="3" spans="2:18" x14ac:dyDescent="0.3">
      <c r="B3" s="39"/>
      <c r="C3" s="40"/>
      <c r="D3" s="41"/>
    </row>
    <row r="4" spans="2:18" x14ac:dyDescent="0.3">
      <c r="B4" s="80"/>
      <c r="C4" s="80"/>
      <c r="D4" s="80"/>
    </row>
    <row r="5" spans="2:18" ht="15.6" x14ac:dyDescent="0.3">
      <c r="B5" s="77" t="s">
        <v>57</v>
      </c>
      <c r="C5" s="78"/>
      <c r="D5" s="79"/>
    </row>
    <row r="6" spans="2:18" x14ac:dyDescent="0.3">
      <c r="B6" s="39"/>
      <c r="C6" s="40"/>
      <c r="D6" s="41"/>
    </row>
    <row r="7" spans="2:18" x14ac:dyDescent="0.3">
      <c r="B7" s="65"/>
      <c r="C7" s="65"/>
      <c r="D7" s="65"/>
    </row>
    <row r="8" spans="2:18" ht="15.6" x14ac:dyDescent="0.3">
      <c r="B8" s="77" t="s">
        <v>58</v>
      </c>
      <c r="C8" s="78"/>
      <c r="D8" s="79"/>
    </row>
    <row r="9" spans="2:18" ht="15.6" customHeight="1" x14ac:dyDescent="0.3">
      <c r="B9" s="81" t="s">
        <v>59</v>
      </c>
      <c r="C9" s="82"/>
      <c r="D9" s="83"/>
      <c r="G9" t="s">
        <v>60</v>
      </c>
    </row>
    <row r="10" spans="2:18" x14ac:dyDescent="0.3">
      <c r="B10" s="84"/>
      <c r="C10" s="84"/>
      <c r="D10" s="84"/>
      <c r="E10" s="80"/>
      <c r="F10" s="80"/>
      <c r="G10" s="80"/>
    </row>
    <row r="11" spans="2:18" ht="27.6" customHeight="1" x14ac:dyDescent="0.3">
      <c r="B11" s="75" t="s">
        <v>61</v>
      </c>
      <c r="C11" s="75"/>
      <c r="D11" s="75"/>
      <c r="G11" s="68" t="s">
        <v>62</v>
      </c>
      <c r="H11" s="68"/>
      <c r="I11" s="68"/>
      <c r="J11" s="68"/>
      <c r="K11" s="68"/>
      <c r="L11" s="68"/>
      <c r="M11" s="68"/>
    </row>
    <row r="12" spans="2:18" x14ac:dyDescent="0.3">
      <c r="B12" s="22" t="s">
        <v>63</v>
      </c>
      <c r="C12" s="24" t="s">
        <v>64</v>
      </c>
      <c r="D12" s="22" t="s">
        <v>65</v>
      </c>
      <c r="G12" s="43" t="s">
        <v>66</v>
      </c>
      <c r="H12" s="43" t="s">
        <v>67</v>
      </c>
      <c r="I12" s="43" t="s">
        <v>68</v>
      </c>
      <c r="J12" s="43" t="s">
        <v>69</v>
      </c>
      <c r="K12" s="42" t="s">
        <v>70</v>
      </c>
      <c r="L12" s="42" t="s">
        <v>71</v>
      </c>
      <c r="M12" s="42" t="s">
        <v>72</v>
      </c>
      <c r="O12" s="43" t="s">
        <v>66</v>
      </c>
      <c r="P12" s="43" t="s">
        <v>103</v>
      </c>
      <c r="Q12" s="43" t="s">
        <v>104</v>
      </c>
      <c r="R12" s="43" t="s">
        <v>105</v>
      </c>
    </row>
    <row r="13" spans="2:18" x14ac:dyDescent="0.3">
      <c r="B13" s="15" t="s">
        <v>75</v>
      </c>
      <c r="C13" s="16">
        <f>TotalLife</f>
        <v>30</v>
      </c>
      <c r="D13" s="17" t="s">
        <v>76</v>
      </c>
      <c r="G13" s="44" t="s">
        <v>73</v>
      </c>
      <c r="H13" s="45" t="str">
        <f>C27</f>
        <v>Input Number</v>
      </c>
      <c r="I13" s="45" t="e">
        <f>C28</f>
        <v>#VALUE!</v>
      </c>
      <c r="J13" s="46">
        <v>0</v>
      </c>
      <c r="K13" s="18" t="str">
        <f>C14</f>
        <v>Input Number</v>
      </c>
      <c r="L13" s="18" t="str">
        <f>C14</f>
        <v>Input Number</v>
      </c>
      <c r="M13" s="18" t="str">
        <f>C14</f>
        <v>Input Number</v>
      </c>
      <c r="O13" s="42" t="s">
        <v>70</v>
      </c>
      <c r="P13" s="33" t="e">
        <f>$C$14/$C$15</f>
        <v>#VALUE!</v>
      </c>
      <c r="Q13" s="33" t="e">
        <f>$C32/$C$35</f>
        <v>#DIV/0!</v>
      </c>
      <c r="R13" s="33" t="e">
        <f>C41/C44</f>
        <v>#DIV/0!</v>
      </c>
    </row>
    <row r="14" spans="2:18" x14ac:dyDescent="0.3">
      <c r="B14" s="15" t="s">
        <v>77</v>
      </c>
      <c r="C14" s="93" t="s">
        <v>106</v>
      </c>
      <c r="D14" s="17" t="s">
        <v>78</v>
      </c>
      <c r="G14" s="44" t="s">
        <v>74</v>
      </c>
      <c r="H14" s="47">
        <f>C35</f>
        <v>0</v>
      </c>
      <c r="I14" s="45">
        <f>C36</f>
        <v>0</v>
      </c>
      <c r="J14" s="46" t="e">
        <f>C37</f>
        <v>#VALUE!</v>
      </c>
      <c r="K14" s="20">
        <f>C32</f>
        <v>0</v>
      </c>
      <c r="L14" s="20">
        <f>C33</f>
        <v>0</v>
      </c>
      <c r="M14" s="20">
        <f>C34</f>
        <v>0</v>
      </c>
      <c r="O14" s="42" t="s">
        <v>71</v>
      </c>
      <c r="P14" s="33" t="e">
        <f t="shared" ref="P14:P15" si="0">$C$14/$C$15</f>
        <v>#VALUE!</v>
      </c>
      <c r="Q14" s="33" t="e">
        <f>$C33/$C$35</f>
        <v>#DIV/0!</v>
      </c>
      <c r="R14" s="33" t="e">
        <f>C42/C44</f>
        <v>#DIV/0!</v>
      </c>
    </row>
    <row r="15" spans="2:18" x14ac:dyDescent="0.3">
      <c r="B15" s="19" t="s">
        <v>79</v>
      </c>
      <c r="C15" s="93" t="s">
        <v>106</v>
      </c>
      <c r="D15" s="17" t="s">
        <v>80</v>
      </c>
      <c r="G15" s="44" t="s">
        <v>81</v>
      </c>
      <c r="H15" s="47">
        <f>C44</f>
        <v>0</v>
      </c>
      <c r="I15" s="45">
        <f>C45</f>
        <v>0</v>
      </c>
      <c r="J15" s="46" t="e">
        <f>C46</f>
        <v>#VALUE!</v>
      </c>
      <c r="K15" s="20">
        <f>C41</f>
        <v>0</v>
      </c>
      <c r="L15" s="20">
        <f>C42</f>
        <v>0</v>
      </c>
      <c r="M15" s="20">
        <f>C43</f>
        <v>0</v>
      </c>
      <c r="O15" s="42" t="s">
        <v>72</v>
      </c>
      <c r="P15" s="33" t="e">
        <f t="shared" si="0"/>
        <v>#VALUE!</v>
      </c>
      <c r="Q15" s="33" t="e">
        <f>$C34/$C$35</f>
        <v>#DIV/0!</v>
      </c>
      <c r="R15" s="33" t="e">
        <f>C43/C44</f>
        <v>#DIV/0!</v>
      </c>
    </row>
    <row r="16" spans="2:18" x14ac:dyDescent="0.3">
      <c r="B16" s="19" t="s">
        <v>82</v>
      </c>
      <c r="C16" s="18" t="e">
        <f>C15/30</f>
        <v>#VALUE!</v>
      </c>
      <c r="D16" s="17" t="s">
        <v>83</v>
      </c>
    </row>
    <row r="17" spans="2:10" x14ac:dyDescent="0.3">
      <c r="B17" s="76"/>
      <c r="C17" s="76"/>
      <c r="D17" s="76"/>
      <c r="G17" s="13"/>
      <c r="H17" s="13"/>
      <c r="I17" s="13"/>
      <c r="J17" s="13"/>
    </row>
    <row r="18" spans="2:10" ht="14.4" customHeight="1" x14ac:dyDescent="0.3">
      <c r="B18" s="73" t="s">
        <v>84</v>
      </c>
      <c r="C18" s="73"/>
      <c r="D18" s="73"/>
      <c r="E18" s="69" t="s">
        <v>85</v>
      </c>
      <c r="G18" s="14"/>
      <c r="H18" s="14"/>
      <c r="I18" s="14"/>
      <c r="J18" s="14"/>
    </row>
    <row r="19" spans="2:10" ht="15" customHeight="1" x14ac:dyDescent="0.3">
      <c r="B19" s="22" t="s">
        <v>63</v>
      </c>
      <c r="C19" s="29" t="s">
        <v>86</v>
      </c>
      <c r="D19" s="22" t="s">
        <v>65</v>
      </c>
      <c r="E19" s="69"/>
      <c r="G19" s="14"/>
      <c r="H19" s="14"/>
      <c r="I19" s="14"/>
      <c r="J19" s="14"/>
    </row>
    <row r="20" spans="2:10" x14ac:dyDescent="0.3">
      <c r="B20" s="21" t="s">
        <v>70</v>
      </c>
      <c r="C20" s="20">
        <f>SUM('Component Info'!AW:AW, 'Component Info'!BA:BA, 'Component Info'!BF:BF)</f>
        <v>51.33333333333335</v>
      </c>
      <c r="D20" s="21" t="s">
        <v>87</v>
      </c>
      <c r="E20" s="69"/>
      <c r="G20" s="14"/>
      <c r="H20" s="14"/>
      <c r="I20" s="14"/>
      <c r="J20" s="14"/>
    </row>
    <row r="21" spans="2:10" x14ac:dyDescent="0.3">
      <c r="B21" s="21" t="s">
        <v>71</v>
      </c>
      <c r="C21" s="20">
        <f>SUM('Component Info'!AX:AX, 'Component Info'!BB:BB, 'Component Info'!BG:BG)</f>
        <v>51.33333333333335</v>
      </c>
      <c r="D21" s="21" t="s">
        <v>88</v>
      </c>
      <c r="E21" s="69"/>
    </row>
    <row r="22" spans="2:10" x14ac:dyDescent="0.3">
      <c r="B22" s="61" t="s">
        <v>72</v>
      </c>
      <c r="C22" s="62">
        <f>SUM('Component Info'!AY:AY, 'Component Info'!BC:BC, 'Component Info'!BH:BH)</f>
        <v>51.33333333333335</v>
      </c>
      <c r="D22" s="61" t="s">
        <v>89</v>
      </c>
      <c r="E22" s="69"/>
    </row>
    <row r="23" spans="2:10" x14ac:dyDescent="0.3">
      <c r="B23" s="25" t="s">
        <v>90</v>
      </c>
      <c r="C23" s="26">
        <f>SUM(C20:C22)</f>
        <v>154.00000000000006</v>
      </c>
      <c r="D23" s="25" t="s">
        <v>91</v>
      </c>
      <c r="E23" s="69"/>
    </row>
    <row r="24" spans="2:10" ht="29.4" customHeight="1" x14ac:dyDescent="0.3">
      <c r="B24" s="70"/>
      <c r="C24" s="70"/>
      <c r="D24" s="70"/>
    </row>
    <row r="25" spans="2:10" x14ac:dyDescent="0.3">
      <c r="B25" s="74" t="s">
        <v>92</v>
      </c>
      <c r="C25" s="74"/>
      <c r="D25" s="74"/>
    </row>
    <row r="26" spans="2:10" ht="16.2" customHeight="1" x14ac:dyDescent="0.3">
      <c r="B26" s="22" t="s">
        <v>63</v>
      </c>
      <c r="C26" s="23" t="s">
        <v>86</v>
      </c>
      <c r="D26" s="22" t="s">
        <v>65</v>
      </c>
    </row>
    <row r="27" spans="2:10" ht="16.2" customHeight="1" x14ac:dyDescent="0.3">
      <c r="B27" s="15" t="s">
        <v>79</v>
      </c>
      <c r="C27" s="18" t="str">
        <f>C15</f>
        <v>Input Number</v>
      </c>
      <c r="D27" s="17" t="s">
        <v>80</v>
      </c>
    </row>
    <row r="28" spans="2:10" ht="16.2" customHeight="1" x14ac:dyDescent="0.3">
      <c r="B28" s="15" t="s">
        <v>82</v>
      </c>
      <c r="C28" s="18" t="e">
        <f>C27/30</f>
        <v>#VALUE!</v>
      </c>
      <c r="D28" s="17" t="s">
        <v>83</v>
      </c>
    </row>
    <row r="29" spans="2:10" ht="28.2" customHeight="1" x14ac:dyDescent="0.3">
      <c r="B29" s="70"/>
      <c r="C29" s="70"/>
      <c r="D29" s="70"/>
    </row>
    <row r="30" spans="2:10" x14ac:dyDescent="0.3">
      <c r="B30" s="72" t="s">
        <v>93</v>
      </c>
      <c r="C30" s="72"/>
      <c r="D30" s="72"/>
    </row>
    <row r="31" spans="2:10" x14ac:dyDescent="0.3">
      <c r="B31" s="22" t="s">
        <v>63</v>
      </c>
      <c r="C31" s="29" t="s">
        <v>86</v>
      </c>
      <c r="D31" s="22" t="s">
        <v>65</v>
      </c>
    </row>
    <row r="32" spans="2:10" x14ac:dyDescent="0.3">
      <c r="B32" s="37" t="s">
        <v>70</v>
      </c>
      <c r="C32" s="20"/>
      <c r="D32" s="21" t="s">
        <v>87</v>
      </c>
    </row>
    <row r="33" spans="2:13" x14ac:dyDescent="0.3">
      <c r="B33" s="37" t="s">
        <v>71</v>
      </c>
      <c r="C33" s="20"/>
      <c r="D33" s="21" t="s">
        <v>88</v>
      </c>
    </row>
    <row r="34" spans="2:13" ht="14.4" customHeight="1" thickBot="1" x14ac:dyDescent="0.35">
      <c r="B34" s="38" t="s">
        <v>72</v>
      </c>
      <c r="C34" s="28"/>
      <c r="D34" s="31" t="s">
        <v>89</v>
      </c>
      <c r="K34" s="48"/>
      <c r="L34" s="48"/>
      <c r="M34" s="48"/>
    </row>
    <row r="35" spans="2:13" ht="15" customHeight="1" x14ac:dyDescent="0.3">
      <c r="B35" s="34" t="s">
        <v>94</v>
      </c>
      <c r="C35" s="26">
        <f>SUM(C32:C34)</f>
        <v>0</v>
      </c>
      <c r="D35" s="25" t="s">
        <v>91</v>
      </c>
      <c r="J35" s="48"/>
      <c r="K35" s="48"/>
      <c r="L35" s="48"/>
      <c r="M35" s="48"/>
    </row>
    <row r="36" spans="2:13" ht="15" customHeight="1" x14ac:dyDescent="0.3">
      <c r="B36" s="35" t="s">
        <v>82</v>
      </c>
      <c r="C36" s="20">
        <f>C35/C13</f>
        <v>0</v>
      </c>
      <c r="D36" s="30" t="s">
        <v>95</v>
      </c>
      <c r="K36" s="48"/>
      <c r="L36" s="48"/>
      <c r="M36" s="48"/>
    </row>
    <row r="37" spans="2:13" ht="15" customHeight="1" x14ac:dyDescent="0.3">
      <c r="B37" s="36" t="s">
        <v>69</v>
      </c>
      <c r="C37" s="33" t="e">
        <f>(C27-C35)/C27</f>
        <v>#VALUE!</v>
      </c>
      <c r="D37" s="21"/>
    </row>
    <row r="38" spans="2:13" ht="28.2" customHeight="1" x14ac:dyDescent="0.3">
      <c r="F38" s="9"/>
      <c r="G38" s="10"/>
    </row>
    <row r="39" spans="2:13" x14ac:dyDescent="0.3">
      <c r="B39" s="71" t="s">
        <v>96</v>
      </c>
      <c r="C39" s="71"/>
      <c r="D39" s="71"/>
      <c r="F39" s="9"/>
      <c r="G39" s="10"/>
    </row>
    <row r="40" spans="2:13" x14ac:dyDescent="0.3">
      <c r="B40" s="22" t="s">
        <v>63</v>
      </c>
      <c r="C40" s="29" t="s">
        <v>86</v>
      </c>
      <c r="D40" s="22" t="s">
        <v>65</v>
      </c>
      <c r="F40" s="9"/>
      <c r="G40" s="10"/>
    </row>
    <row r="41" spans="2:13" x14ac:dyDescent="0.3">
      <c r="B41" s="37" t="s">
        <v>70</v>
      </c>
      <c r="C41" s="20"/>
      <c r="D41" s="21" t="s">
        <v>87</v>
      </c>
      <c r="J41" s="48"/>
      <c r="K41" s="48"/>
      <c r="L41" s="48"/>
      <c r="M41" s="48"/>
    </row>
    <row r="42" spans="2:13" x14ac:dyDescent="0.3">
      <c r="B42" s="37" t="s">
        <v>71</v>
      </c>
      <c r="C42" s="20"/>
      <c r="D42" s="21" t="s">
        <v>88</v>
      </c>
      <c r="J42" s="48"/>
      <c r="K42" s="48"/>
      <c r="L42" s="48"/>
      <c r="M42" s="48"/>
    </row>
    <row r="43" spans="2:13" ht="15" thickBot="1" x14ac:dyDescent="0.35">
      <c r="B43" s="38" t="s">
        <v>72</v>
      </c>
      <c r="C43" s="28"/>
      <c r="D43" s="31" t="s">
        <v>89</v>
      </c>
    </row>
    <row r="44" spans="2:13" x14ac:dyDescent="0.3">
      <c r="B44" s="34" t="s">
        <v>90</v>
      </c>
      <c r="C44" s="26">
        <f>SUM(C41:C43)</f>
        <v>0</v>
      </c>
      <c r="D44" s="25" t="s">
        <v>91</v>
      </c>
    </row>
    <row r="45" spans="2:13" x14ac:dyDescent="0.3">
      <c r="B45" s="35" t="s">
        <v>82</v>
      </c>
      <c r="C45" s="20">
        <f>C44/C13</f>
        <v>0</v>
      </c>
      <c r="D45" s="30" t="s">
        <v>95</v>
      </c>
    </row>
    <row r="46" spans="2:13" x14ac:dyDescent="0.3">
      <c r="B46" s="36" t="s">
        <v>69</v>
      </c>
      <c r="C46" s="33" t="e">
        <f>(C27-C44)/C27</f>
        <v>#VALUE!</v>
      </c>
      <c r="D46" s="21"/>
    </row>
  </sheetData>
  <mergeCells count="18">
    <mergeCell ref="B18:D18"/>
    <mergeCell ref="E18:E23"/>
    <mergeCell ref="B2:D2"/>
    <mergeCell ref="B4:D4"/>
    <mergeCell ref="B5:D5"/>
    <mergeCell ref="B7:D7"/>
    <mergeCell ref="B8:D8"/>
    <mergeCell ref="B9:D9"/>
    <mergeCell ref="B10:D10"/>
    <mergeCell ref="E10:G10"/>
    <mergeCell ref="B11:D11"/>
    <mergeCell ref="G11:M11"/>
    <mergeCell ref="B17:D17"/>
    <mergeCell ref="B24:D24"/>
    <mergeCell ref="B25:D25"/>
    <mergeCell ref="B29:D29"/>
    <mergeCell ref="B30:D30"/>
    <mergeCell ref="B39:D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8157-74E4-4D04-A1DA-16B55C02C370}">
  <dimension ref="A1:J21"/>
  <sheetViews>
    <sheetView workbookViewId="0">
      <selection activeCell="M26" sqref="M26"/>
    </sheetView>
  </sheetViews>
  <sheetFormatPr defaultRowHeight="14.4" x14ac:dyDescent="0.3"/>
  <sheetData>
    <row r="1" spans="1:10" x14ac:dyDescent="0.3">
      <c r="A1" s="65" t="s">
        <v>97</v>
      </c>
      <c r="B1" s="65"/>
      <c r="C1" s="65"/>
      <c r="D1" s="65"/>
      <c r="E1" s="65"/>
      <c r="F1" s="65"/>
      <c r="G1" s="65"/>
      <c r="H1" s="65"/>
      <c r="I1" s="65"/>
      <c r="J1" s="65"/>
    </row>
    <row r="2" spans="1:10" x14ac:dyDescent="0.3">
      <c r="A2" s="89" t="s">
        <v>98</v>
      </c>
      <c r="B2" s="90"/>
      <c r="C2" s="90"/>
      <c r="D2" s="90"/>
      <c r="E2" s="90"/>
      <c r="F2" s="90"/>
      <c r="G2" s="90"/>
      <c r="H2" s="90"/>
      <c r="I2" s="90"/>
      <c r="J2" s="90"/>
    </row>
    <row r="3" spans="1:10" x14ac:dyDescent="0.3">
      <c r="A3" s="90"/>
      <c r="B3" s="90"/>
      <c r="C3" s="90"/>
      <c r="D3" s="90"/>
      <c r="E3" s="90"/>
      <c r="F3" s="90"/>
      <c r="G3" s="90"/>
      <c r="H3" s="90"/>
      <c r="I3" s="90"/>
      <c r="J3" s="90"/>
    </row>
    <row r="4" spans="1:10" x14ac:dyDescent="0.3">
      <c r="A4" s="90"/>
      <c r="B4" s="90"/>
      <c r="C4" s="90"/>
      <c r="D4" s="90"/>
      <c r="E4" s="90"/>
      <c r="F4" s="90"/>
      <c r="G4" s="90"/>
      <c r="H4" s="90"/>
      <c r="I4" s="90"/>
      <c r="J4" s="90"/>
    </row>
    <row r="5" spans="1:10" x14ac:dyDescent="0.3">
      <c r="A5" s="90"/>
      <c r="B5" s="90"/>
      <c r="C5" s="90"/>
      <c r="D5" s="90"/>
      <c r="E5" s="90"/>
      <c r="F5" s="90"/>
      <c r="G5" s="90"/>
      <c r="H5" s="90"/>
      <c r="I5" s="90"/>
      <c r="J5" s="90"/>
    </row>
    <row r="6" spans="1:10" x14ac:dyDescent="0.3">
      <c r="A6" s="90"/>
      <c r="B6" s="90"/>
      <c r="C6" s="90"/>
      <c r="D6" s="90"/>
      <c r="E6" s="90"/>
      <c r="F6" s="90"/>
      <c r="G6" s="90"/>
      <c r="H6" s="90"/>
      <c r="I6" s="90"/>
      <c r="J6" s="90"/>
    </row>
    <row r="7" spans="1:10" ht="30" customHeight="1" x14ac:dyDescent="0.3">
      <c r="A7" s="90"/>
      <c r="B7" s="90"/>
      <c r="C7" s="90"/>
      <c r="D7" s="90"/>
      <c r="E7" s="90"/>
      <c r="F7" s="90"/>
      <c r="G7" s="90"/>
      <c r="H7" s="90"/>
      <c r="I7" s="90"/>
      <c r="J7" s="90"/>
    </row>
    <row r="8" spans="1:10" x14ac:dyDescent="0.3">
      <c r="A8" s="65" t="s">
        <v>99</v>
      </c>
      <c r="B8" s="65"/>
      <c r="C8" s="65"/>
      <c r="D8" s="65"/>
      <c r="E8" s="65"/>
      <c r="F8" s="65"/>
      <c r="G8" s="65"/>
      <c r="H8" s="65"/>
      <c r="I8" s="65"/>
      <c r="J8" s="65"/>
    </row>
    <row r="9" spans="1:10" x14ac:dyDescent="0.3">
      <c r="A9" s="85" t="s">
        <v>100</v>
      </c>
      <c r="B9" s="86"/>
      <c r="C9" s="86"/>
      <c r="D9" s="86"/>
      <c r="E9" s="86"/>
      <c r="F9" s="86"/>
      <c r="G9" s="86"/>
      <c r="H9" s="86"/>
      <c r="I9" s="86"/>
      <c r="J9" s="86"/>
    </row>
    <row r="10" spans="1:10" x14ac:dyDescent="0.3">
      <c r="A10" s="86"/>
      <c r="B10" s="86"/>
      <c r="C10" s="86"/>
      <c r="D10" s="86"/>
      <c r="E10" s="86"/>
      <c r="F10" s="86"/>
      <c r="G10" s="86"/>
      <c r="H10" s="86"/>
      <c r="I10" s="86"/>
      <c r="J10" s="86"/>
    </row>
    <row r="11" spans="1:10" x14ac:dyDescent="0.3">
      <c r="A11" s="86"/>
      <c r="B11" s="86"/>
      <c r="C11" s="86"/>
      <c r="D11" s="86"/>
      <c r="E11" s="86"/>
      <c r="F11" s="86"/>
      <c r="G11" s="86"/>
      <c r="H11" s="86"/>
      <c r="I11" s="86"/>
      <c r="J11" s="86"/>
    </row>
    <row r="12" spans="1:10" x14ac:dyDescent="0.3">
      <c r="A12" s="86"/>
      <c r="B12" s="86"/>
      <c r="C12" s="86"/>
      <c r="D12" s="86"/>
      <c r="E12" s="86"/>
      <c r="F12" s="86"/>
      <c r="G12" s="86"/>
      <c r="H12" s="86"/>
      <c r="I12" s="86"/>
      <c r="J12" s="86"/>
    </row>
    <row r="13" spans="1:10" x14ac:dyDescent="0.3">
      <c r="A13" s="86"/>
      <c r="B13" s="86"/>
      <c r="C13" s="86"/>
      <c r="D13" s="86"/>
      <c r="E13" s="86"/>
      <c r="F13" s="86"/>
      <c r="G13" s="86"/>
      <c r="H13" s="86"/>
      <c r="I13" s="86"/>
      <c r="J13" s="86"/>
    </row>
    <row r="14" spans="1:10" ht="37.200000000000003" customHeight="1" x14ac:dyDescent="0.3">
      <c r="A14" s="86"/>
      <c r="B14" s="86"/>
      <c r="C14" s="86"/>
      <c r="D14" s="86"/>
      <c r="E14" s="86"/>
      <c r="F14" s="86"/>
      <c r="G14" s="86"/>
      <c r="H14" s="86"/>
      <c r="I14" s="86"/>
      <c r="J14" s="86"/>
    </row>
    <row r="15" spans="1:10" x14ac:dyDescent="0.3">
      <c r="A15" s="65" t="s">
        <v>101</v>
      </c>
      <c r="B15" s="65"/>
      <c r="C15" s="65"/>
      <c r="D15" s="65"/>
      <c r="E15" s="65"/>
      <c r="F15" s="65"/>
      <c r="G15" s="65"/>
      <c r="H15" s="65"/>
      <c r="I15" s="65"/>
      <c r="J15" s="65"/>
    </row>
    <row r="16" spans="1:10" x14ac:dyDescent="0.3">
      <c r="A16" s="87" t="s">
        <v>102</v>
      </c>
      <c r="B16" s="88"/>
      <c r="C16" s="88"/>
      <c r="D16" s="88"/>
      <c r="E16" s="88"/>
      <c r="F16" s="88"/>
      <c r="G16" s="88"/>
      <c r="H16" s="88"/>
      <c r="I16" s="88"/>
      <c r="J16" s="88"/>
    </row>
    <row r="17" spans="1:10" x14ac:dyDescent="0.3">
      <c r="A17" s="88"/>
      <c r="B17" s="88"/>
      <c r="C17" s="88"/>
      <c r="D17" s="88"/>
      <c r="E17" s="88"/>
      <c r="F17" s="88"/>
      <c r="G17" s="88"/>
      <c r="H17" s="88"/>
      <c r="I17" s="88"/>
      <c r="J17" s="88"/>
    </row>
    <row r="18" spans="1:10" x14ac:dyDescent="0.3">
      <c r="A18" s="88"/>
      <c r="B18" s="88"/>
      <c r="C18" s="88"/>
      <c r="D18" s="88"/>
      <c r="E18" s="88"/>
      <c r="F18" s="88"/>
      <c r="G18" s="88"/>
      <c r="H18" s="88"/>
      <c r="I18" s="88"/>
      <c r="J18" s="88"/>
    </row>
    <row r="19" spans="1:10" x14ac:dyDescent="0.3">
      <c r="A19" s="88"/>
      <c r="B19" s="88"/>
      <c r="C19" s="88"/>
      <c r="D19" s="88"/>
      <c r="E19" s="88"/>
      <c r="F19" s="88"/>
      <c r="G19" s="88"/>
      <c r="H19" s="88"/>
      <c r="I19" s="88"/>
      <c r="J19" s="88"/>
    </row>
    <row r="20" spans="1:10" x14ac:dyDescent="0.3">
      <c r="A20" s="88"/>
      <c r="B20" s="88"/>
      <c r="C20" s="88"/>
      <c r="D20" s="88"/>
      <c r="E20" s="88"/>
      <c r="F20" s="88"/>
      <c r="G20" s="88"/>
      <c r="H20" s="88"/>
      <c r="I20" s="88"/>
      <c r="J20" s="88"/>
    </row>
    <row r="21" spans="1:10" ht="28.2" customHeight="1" x14ac:dyDescent="0.3">
      <c r="A21" s="88"/>
      <c r="B21" s="88"/>
      <c r="C21" s="88"/>
      <c r="D21" s="88"/>
      <c r="E21" s="88"/>
      <c r="F21" s="88"/>
      <c r="G21" s="88"/>
      <c r="H21" s="88"/>
      <c r="I21" s="88"/>
      <c r="J21" s="88"/>
    </row>
  </sheetData>
  <mergeCells count="6">
    <mergeCell ref="A9:J14"/>
    <mergeCell ref="A15:J15"/>
    <mergeCell ref="A16:J21"/>
    <mergeCell ref="A8:J8"/>
    <mergeCell ref="A1:J1"/>
    <mergeCell ref="A2:J7"/>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8063A11D5A9549A49AF4523E2D6C2C" ma:contentTypeVersion="21" ma:contentTypeDescription="Een nieuw document maken." ma:contentTypeScope="" ma:versionID="6bf6b8becee6b7f41fcd0810ec50cc9d">
  <xsd:schema xmlns:xsd="http://www.w3.org/2001/XMLSchema" xmlns:xs="http://www.w3.org/2001/XMLSchema" xmlns:p="http://schemas.microsoft.com/office/2006/metadata/properties" xmlns:ns2="aabaac9d-3767-43fc-b0fc-f9878e873318" xmlns:ns3="f7c18d54-e84a-43d6-99f3-4b1ee915992b" xmlns:ns4="d11bdb94-d558-4ffe-a4b0-092cbde21480" targetNamespace="http://schemas.microsoft.com/office/2006/metadata/properties" ma:root="true" ma:fieldsID="b1990e8e5b04132eb6e5fbbc2785b1e4" ns2:_="" ns3:_="" ns4:_="">
    <xsd:import namespace="aabaac9d-3767-43fc-b0fc-f9878e873318"/>
    <xsd:import namespace="f7c18d54-e84a-43d6-99f3-4b1ee915992b"/>
    <xsd:import namespace="d11bdb94-d558-4ffe-a4b0-092cbde214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baac9d-3767-43fc-b0fc-f9878e873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9cfe35b6-4a65-43a7-bc9f-cf1ea54c88f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Made from T Section &#10;Not connected to aluminum plate &#10;"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c18d54-e84a-43d6-99f3-4b1ee915992b"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11bdb94-d558-4ffe-a4b0-092cbde2148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eb2ae42-c851-4adb-9361-a79f19840a39}" ma:internalName="TaxCatchAll" ma:showField="CatchAllData" ma:web="f7c18d54-e84a-43d6-99f3-4b1ee91599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1bdb94-d558-4ffe-a4b0-092cbde21480" xsi:nil="true"/>
    <Notes xmlns="aabaac9d-3767-43fc-b0fc-f9878e873318" xsi:nil="true"/>
    <lcf76f155ced4ddcb4097134ff3c332f xmlns="aabaac9d-3767-43fc-b0fc-f9878e8733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6D5803-5B27-450E-8BB0-F32AA91D990C}"/>
</file>

<file path=customXml/itemProps2.xml><?xml version="1.0" encoding="utf-8"?>
<ds:datastoreItem xmlns:ds="http://schemas.openxmlformats.org/officeDocument/2006/customXml" ds:itemID="{9043BCDC-3093-4399-ABF5-BC0CE2CD5335}"/>
</file>

<file path=customXml/itemProps3.xml><?xml version="1.0" encoding="utf-8"?>
<ds:datastoreItem xmlns:ds="http://schemas.openxmlformats.org/officeDocument/2006/customXml" ds:itemID="{9AD1B783-5D0C-4F4B-89BD-D5D82D5747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Scenario Inputs</vt:lpstr>
      <vt:lpstr>Component Info</vt:lpstr>
      <vt:lpstr>CELD Results</vt:lpstr>
      <vt:lpstr>Cut-off Results</vt:lpstr>
      <vt:lpstr>Equal Share Results </vt:lpstr>
      <vt:lpstr>Allocation Method Description</vt:lpstr>
      <vt:lpstr>Cycle1End</vt:lpstr>
      <vt:lpstr>Cycle2End</vt:lpstr>
      <vt:lpstr>Cycle3End</vt:lpstr>
      <vt:lpstr>TotalLife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Jenna Coward</dc:creator>
  <cp:keywords/>
  <dc:description/>
  <cp:lastModifiedBy>Jenna Coward</cp:lastModifiedBy>
  <cp:revision/>
  <dcterms:created xsi:type="dcterms:W3CDTF">2025-11-19T12:01:33Z</dcterms:created>
  <dcterms:modified xsi:type="dcterms:W3CDTF">2026-01-07T12:38:51Z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0x010100808063A11D5A9549A49AF4523E2D6C2C</vt:lpwstr>
  </property>
</Properties>
</file>